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45877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45877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45877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45877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45877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45877</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45877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45877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45877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45877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45877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45877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45877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45877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45877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45877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45877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45877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45877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45877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45877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45877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45877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45877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45877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45877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45877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45877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45877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45877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45877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45877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45877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45877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45877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45877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45877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45877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45877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45877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45877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45877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45877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45877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45877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45877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45877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45877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45877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45877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45877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45877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45877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45877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45877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45877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45877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45877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45877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45877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45877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45877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45877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45877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45877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45877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45877</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35743-2025</t>
        </is>
      </c>
      <c r="B69" s="1" t="n">
        <v>45860</v>
      </c>
      <c r="C69" s="1" t="n">
        <v>45877</v>
      </c>
      <c r="D69" t="inlineStr">
        <is>
          <t>GÄVLEBORGS LÄN</t>
        </is>
      </c>
      <c r="E69" t="inlineStr">
        <is>
          <t>HOFORS</t>
        </is>
      </c>
      <c r="F69" t="inlineStr">
        <is>
          <t>Sveaskog</t>
        </is>
      </c>
      <c r="G69" t="n">
        <v>1.4</v>
      </c>
      <c r="H69" t="n">
        <v>1</v>
      </c>
      <c r="I69" t="n">
        <v>0</v>
      </c>
      <c r="J69" t="n">
        <v>0</v>
      </c>
      <c r="K69" t="n">
        <v>0</v>
      </c>
      <c r="L69" t="n">
        <v>0</v>
      </c>
      <c r="M69" t="n">
        <v>0</v>
      </c>
      <c r="N69" t="n">
        <v>0</v>
      </c>
      <c r="O69" t="n">
        <v>0</v>
      </c>
      <c r="P69" t="n">
        <v>0</v>
      </c>
      <c r="Q69" t="n">
        <v>1</v>
      </c>
      <c r="R69" s="2" t="inlineStr">
        <is>
          <t>Mattlummer</t>
        </is>
      </c>
      <c r="S69">
        <f>HYPERLINK("https://klasma.github.io/Logging_212104/artfynd/A 35743-2025 artfynd.xlsx", "A 35743-2025")</f>
        <v/>
      </c>
      <c r="T69">
        <f>HYPERLINK("https://klasma.github.io/Logging_212104/kartor/A 35743-2025 karta.png", "A 35743-2025")</f>
        <v/>
      </c>
      <c r="V69">
        <f>HYPERLINK("https://klasma.github.io/Logging_212104/klagomål/A 35743-2025 FSC-klagomål.docx", "A 35743-2025")</f>
        <v/>
      </c>
      <c r="W69">
        <f>HYPERLINK("https://klasma.github.io/Logging_212104/klagomålsmail/A 35743-2025 FSC-klagomål mail.docx", "A 35743-2025")</f>
        <v/>
      </c>
      <c r="X69">
        <f>HYPERLINK("https://klasma.github.io/Logging_212104/tillsyn/A 35743-2025 tillsynsbegäran.docx", "A 35743-2025")</f>
        <v/>
      </c>
      <c r="Y69">
        <f>HYPERLINK("https://klasma.github.io/Logging_212104/tillsynsmail/A 35743-2025 tillsynsbegäran mail.docx", "A 35743-2025")</f>
        <v/>
      </c>
    </row>
    <row r="70" ht="15" customHeight="1">
      <c r="A70" t="inlineStr">
        <is>
          <t>A 36606-2025</t>
        </is>
      </c>
      <c r="B70" s="1" t="n">
        <v>45870</v>
      </c>
      <c r="C70" s="1" t="n">
        <v>45877</v>
      </c>
      <c r="D70" t="inlineStr">
        <is>
          <t>GÄVLEBORGS LÄN</t>
        </is>
      </c>
      <c r="E70" t="inlineStr">
        <is>
          <t>HOFORS</t>
        </is>
      </c>
      <c r="F70" t="inlineStr">
        <is>
          <t>Sveaskog</t>
        </is>
      </c>
      <c r="G70" t="n">
        <v>13.3</v>
      </c>
      <c r="H70" t="n">
        <v>0</v>
      </c>
      <c r="I70" t="n">
        <v>0</v>
      </c>
      <c r="J70" t="n">
        <v>1</v>
      </c>
      <c r="K70" t="n">
        <v>0</v>
      </c>
      <c r="L70" t="n">
        <v>0</v>
      </c>
      <c r="M70" t="n">
        <v>0</v>
      </c>
      <c r="N70" t="n">
        <v>0</v>
      </c>
      <c r="O70" t="n">
        <v>1</v>
      </c>
      <c r="P70" t="n">
        <v>0</v>
      </c>
      <c r="Q70" t="n">
        <v>1</v>
      </c>
      <c r="R70" s="2" t="inlineStr">
        <is>
          <t>Brunklöver</t>
        </is>
      </c>
      <c r="S70">
        <f>HYPERLINK("https://klasma.github.io/Logging_212104/artfynd/A 36606-2025 artfynd.xlsx", "A 36606-2025")</f>
        <v/>
      </c>
      <c r="T70">
        <f>HYPERLINK("https://klasma.github.io/Logging_212104/kartor/A 36606-2025 karta.png", "A 36606-2025")</f>
        <v/>
      </c>
      <c r="V70">
        <f>HYPERLINK("https://klasma.github.io/Logging_212104/klagomål/A 36606-2025 FSC-klagomål.docx", "A 36606-2025")</f>
        <v/>
      </c>
      <c r="W70">
        <f>HYPERLINK("https://klasma.github.io/Logging_212104/klagomålsmail/A 36606-2025 FSC-klagomål mail.docx", "A 36606-2025")</f>
        <v/>
      </c>
      <c r="X70">
        <f>HYPERLINK("https://klasma.github.io/Logging_212104/tillsyn/A 36606-2025 tillsynsbegäran.docx", "A 36606-2025")</f>
        <v/>
      </c>
      <c r="Y70">
        <f>HYPERLINK("https://klasma.github.io/Logging_212104/tillsynsmail/A 36606-2025 tillsynsbegäran mail.docx", "A 36606-2025")</f>
        <v/>
      </c>
    </row>
    <row r="71" ht="15" customHeight="1">
      <c r="A71" t="inlineStr">
        <is>
          <t>A 17691-2019</t>
        </is>
      </c>
      <c r="B71" s="1" t="n">
        <v>43556</v>
      </c>
      <c r="C71" s="1" t="n">
        <v>45877</v>
      </c>
      <c r="D71" t="inlineStr">
        <is>
          <t>GÄVLEBORGS LÄN</t>
        </is>
      </c>
      <c r="E71" t="inlineStr">
        <is>
          <t>HOFORS</t>
        </is>
      </c>
      <c r="F71" t="inlineStr">
        <is>
          <t>Kommuner</t>
        </is>
      </c>
      <c r="G71" t="n">
        <v>3.9</v>
      </c>
      <c r="H71" t="n">
        <v>0</v>
      </c>
      <c r="I71" t="n">
        <v>0</v>
      </c>
      <c r="J71" t="n">
        <v>0</v>
      </c>
      <c r="K71" t="n">
        <v>0</v>
      </c>
      <c r="L71" t="n">
        <v>0</v>
      </c>
      <c r="M71" t="n">
        <v>0</v>
      </c>
      <c r="N71" t="n">
        <v>0</v>
      </c>
      <c r="O71" t="n">
        <v>0</v>
      </c>
      <c r="P71" t="n">
        <v>0</v>
      </c>
      <c r="Q71" t="n">
        <v>0</v>
      </c>
      <c r="R71" s="2" t="inlineStr"/>
    </row>
    <row r="72" ht="15" customHeight="1">
      <c r="A72" t="inlineStr">
        <is>
          <t>A 18095-2019</t>
        </is>
      </c>
      <c r="B72" s="1" t="n">
        <v>43558</v>
      </c>
      <c r="C72" s="1" t="n">
        <v>45877</v>
      </c>
      <c r="D72" t="inlineStr">
        <is>
          <t>GÄVLEBORGS LÄN</t>
        </is>
      </c>
      <c r="E72" t="inlineStr">
        <is>
          <t>HOFORS</t>
        </is>
      </c>
      <c r="F72" t="inlineStr">
        <is>
          <t>Sveaskog</t>
        </is>
      </c>
      <c r="G72" t="n">
        <v>2.8</v>
      </c>
      <c r="H72" t="n">
        <v>0</v>
      </c>
      <c r="I72" t="n">
        <v>0</v>
      </c>
      <c r="J72" t="n">
        <v>0</v>
      </c>
      <c r="K72" t="n">
        <v>0</v>
      </c>
      <c r="L72" t="n">
        <v>0</v>
      </c>
      <c r="M72" t="n">
        <v>0</v>
      </c>
      <c r="N72" t="n">
        <v>0</v>
      </c>
      <c r="O72" t="n">
        <v>0</v>
      </c>
      <c r="P72" t="n">
        <v>0</v>
      </c>
      <c r="Q72" t="n">
        <v>0</v>
      </c>
      <c r="R72" s="2" t="inlineStr"/>
    </row>
    <row r="73" ht="15" customHeight="1">
      <c r="A73" t="inlineStr">
        <is>
          <t>A 18085-2019</t>
        </is>
      </c>
      <c r="B73" s="1" t="n">
        <v>43558</v>
      </c>
      <c r="C73" s="1" t="n">
        <v>45877</v>
      </c>
      <c r="D73" t="inlineStr">
        <is>
          <t>GÄVLEBORGS LÄN</t>
        </is>
      </c>
      <c r="E73" t="inlineStr">
        <is>
          <t>HOFORS</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21734-2019</t>
        </is>
      </c>
      <c r="B74" s="1" t="n">
        <v>43581</v>
      </c>
      <c r="C74" s="1" t="n">
        <v>45877</v>
      </c>
      <c r="D74" t="inlineStr">
        <is>
          <t>GÄVLEBORGS LÄN</t>
        </is>
      </c>
      <c r="E74" t="inlineStr">
        <is>
          <t>HOFORS</t>
        </is>
      </c>
      <c r="F74" t="inlineStr">
        <is>
          <t>Sveaskog</t>
        </is>
      </c>
      <c r="G74" t="n">
        <v>1.6</v>
      </c>
      <c r="H74" t="n">
        <v>0</v>
      </c>
      <c r="I74" t="n">
        <v>0</v>
      </c>
      <c r="J74" t="n">
        <v>0</v>
      </c>
      <c r="K74" t="n">
        <v>0</v>
      </c>
      <c r="L74" t="n">
        <v>0</v>
      </c>
      <c r="M74" t="n">
        <v>0</v>
      </c>
      <c r="N74" t="n">
        <v>0</v>
      </c>
      <c r="O74" t="n">
        <v>0</v>
      </c>
      <c r="P74" t="n">
        <v>0</v>
      </c>
      <c r="Q74" t="n">
        <v>0</v>
      </c>
      <c r="R74" s="2" t="inlineStr"/>
      <c r="U74">
        <f>HYPERLINK("https://klasma.github.io/Logging_2104/knärot/A 21734-2019 karta knärot.png", "A 21734-2019")</f>
        <v/>
      </c>
      <c r="V74">
        <f>HYPERLINK("https://klasma.github.io/Logging_2104/klagomål/A 21734-2019 FSC-klagomål.docx", "A 21734-2019")</f>
        <v/>
      </c>
      <c r="W74">
        <f>HYPERLINK("https://klasma.github.io/Logging_2104/klagomålsmail/A 21734-2019 FSC-klagomål mail.docx", "A 21734-2019")</f>
        <v/>
      </c>
      <c r="X74">
        <f>HYPERLINK("https://klasma.github.io/Logging_2104/tillsyn/A 21734-2019 tillsynsbegäran.docx", "A 21734-2019")</f>
        <v/>
      </c>
      <c r="Y74">
        <f>HYPERLINK("https://klasma.github.io/Logging_2104/tillsynsmail/A 21734-2019 tillsynsbegäran mail.docx", "A 21734-2019")</f>
        <v/>
      </c>
    </row>
    <row r="75" ht="15" customHeight="1">
      <c r="A75" t="inlineStr">
        <is>
          <t>A 22734-2019</t>
        </is>
      </c>
      <c r="B75" s="1" t="n">
        <v>43588</v>
      </c>
      <c r="C75" s="1" t="n">
        <v>45877</v>
      </c>
      <c r="D75" t="inlineStr">
        <is>
          <t>GÄVLEBORGS LÄN</t>
        </is>
      </c>
      <c r="E75" t="inlineStr">
        <is>
          <t>HOFORS</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23881-2019</t>
        </is>
      </c>
      <c r="B76" s="1" t="n">
        <v>43595</v>
      </c>
      <c r="C76" s="1" t="n">
        <v>45877</v>
      </c>
      <c r="D76" t="inlineStr">
        <is>
          <t>GÄVLEBORGS LÄN</t>
        </is>
      </c>
      <c r="E76" t="inlineStr">
        <is>
          <t>HOFORS</t>
        </is>
      </c>
      <c r="G76" t="n">
        <v>3.2</v>
      </c>
      <c r="H76" t="n">
        <v>0</v>
      </c>
      <c r="I76" t="n">
        <v>0</v>
      </c>
      <c r="J76" t="n">
        <v>0</v>
      </c>
      <c r="K76" t="n">
        <v>0</v>
      </c>
      <c r="L76" t="n">
        <v>0</v>
      </c>
      <c r="M76" t="n">
        <v>0</v>
      </c>
      <c r="N76" t="n">
        <v>0</v>
      </c>
      <c r="O76" t="n">
        <v>0</v>
      </c>
      <c r="P76" t="n">
        <v>0</v>
      </c>
      <c r="Q76" t="n">
        <v>0</v>
      </c>
      <c r="R76" s="2" t="inlineStr"/>
    </row>
    <row r="77" ht="15" customHeight="1">
      <c r="A77" t="inlineStr">
        <is>
          <t>A 24756-2019</t>
        </is>
      </c>
      <c r="B77" s="1" t="n">
        <v>43601</v>
      </c>
      <c r="C77" s="1" t="n">
        <v>45877</v>
      </c>
      <c r="D77" t="inlineStr">
        <is>
          <t>GÄVLEBORGS LÄN</t>
        </is>
      </c>
      <c r="E77" t="inlineStr">
        <is>
          <t>HOFORS</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25515-2019</t>
        </is>
      </c>
      <c r="B78" s="1" t="n">
        <v>43606</v>
      </c>
      <c r="C78" s="1" t="n">
        <v>45877</v>
      </c>
      <c r="D78" t="inlineStr">
        <is>
          <t>GÄVLEBORGS LÄN</t>
        </is>
      </c>
      <c r="E78" t="inlineStr">
        <is>
          <t>HOFORS</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25517-2019</t>
        </is>
      </c>
      <c r="B79" s="1" t="n">
        <v>43606</v>
      </c>
      <c r="C79" s="1" t="n">
        <v>45877</v>
      </c>
      <c r="D79" t="inlineStr">
        <is>
          <t>GÄVLEBORGS LÄN</t>
        </is>
      </c>
      <c r="E79" t="inlineStr">
        <is>
          <t>HOFORS</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30592-2019</t>
        </is>
      </c>
      <c r="B80" s="1" t="n">
        <v>43635</v>
      </c>
      <c r="C80" s="1" t="n">
        <v>45877</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30591-2019</t>
        </is>
      </c>
      <c r="B81" s="1" t="n">
        <v>43635</v>
      </c>
      <c r="C81" s="1" t="n">
        <v>45877</v>
      </c>
      <c r="D81" t="inlineStr">
        <is>
          <t>GÄVLEBORGS LÄN</t>
        </is>
      </c>
      <c r="E81" t="inlineStr">
        <is>
          <t>HOFORS</t>
        </is>
      </c>
      <c r="F81" t="inlineStr">
        <is>
          <t>Sveaskog</t>
        </is>
      </c>
      <c r="G81" t="n">
        <v>8.5</v>
      </c>
      <c r="H81" t="n">
        <v>0</v>
      </c>
      <c r="I81" t="n">
        <v>0</v>
      </c>
      <c r="J81" t="n">
        <v>0</v>
      </c>
      <c r="K81" t="n">
        <v>0</v>
      </c>
      <c r="L81" t="n">
        <v>0</v>
      </c>
      <c r="M81" t="n">
        <v>0</v>
      </c>
      <c r="N81" t="n">
        <v>0</v>
      </c>
      <c r="O81" t="n">
        <v>0</v>
      </c>
      <c r="P81" t="n">
        <v>0</v>
      </c>
      <c r="Q81" t="n">
        <v>0</v>
      </c>
      <c r="R81" s="2" t="inlineStr"/>
    </row>
    <row r="82" ht="15" customHeight="1">
      <c r="A82" t="inlineStr">
        <is>
          <t>A 40385-2019</t>
        </is>
      </c>
      <c r="B82" s="1" t="n">
        <v>43696</v>
      </c>
      <c r="C82" s="1" t="n">
        <v>45877</v>
      </c>
      <c r="D82" t="inlineStr">
        <is>
          <t>GÄVLEBORGS LÄN</t>
        </is>
      </c>
      <c r="E82" t="inlineStr">
        <is>
          <t>HOFORS</t>
        </is>
      </c>
      <c r="F82" t="inlineStr">
        <is>
          <t>Sveaskog</t>
        </is>
      </c>
      <c r="G82" t="n">
        <v>2.7</v>
      </c>
      <c r="H82" t="n">
        <v>0</v>
      </c>
      <c r="I82" t="n">
        <v>0</v>
      </c>
      <c r="J82" t="n">
        <v>0</v>
      </c>
      <c r="K82" t="n">
        <v>0</v>
      </c>
      <c r="L82" t="n">
        <v>0</v>
      </c>
      <c r="M82" t="n">
        <v>0</v>
      </c>
      <c r="N82" t="n">
        <v>0</v>
      </c>
      <c r="O82" t="n">
        <v>0</v>
      </c>
      <c r="P82" t="n">
        <v>0</v>
      </c>
      <c r="Q82" t="n">
        <v>0</v>
      </c>
      <c r="R82" s="2" t="inlineStr"/>
      <c r="U82">
        <f>HYPERLINK("https://klasma.github.io/Logging_2104/knärot/A 40385-2019 karta knärot.png", "A 40385-2019")</f>
        <v/>
      </c>
      <c r="V82">
        <f>HYPERLINK("https://klasma.github.io/Logging_2104/klagomål/A 40385-2019 FSC-klagomål.docx", "A 40385-2019")</f>
        <v/>
      </c>
      <c r="W82">
        <f>HYPERLINK("https://klasma.github.io/Logging_2104/klagomålsmail/A 40385-2019 FSC-klagomål mail.docx", "A 40385-2019")</f>
        <v/>
      </c>
      <c r="X82">
        <f>HYPERLINK("https://klasma.github.io/Logging_2104/tillsyn/A 40385-2019 tillsynsbegäran.docx", "A 40385-2019")</f>
        <v/>
      </c>
      <c r="Y82">
        <f>HYPERLINK("https://klasma.github.io/Logging_2104/tillsynsmail/A 40385-2019 tillsynsbegäran mail.docx", "A 40385-2019")</f>
        <v/>
      </c>
    </row>
    <row r="83" ht="15" customHeight="1">
      <c r="A83" t="inlineStr">
        <is>
          <t>A 42253-2019</t>
        </is>
      </c>
      <c r="B83" s="1" t="n">
        <v>43703</v>
      </c>
      <c r="C83" s="1" t="n">
        <v>45877</v>
      </c>
      <c r="D83" t="inlineStr">
        <is>
          <t>GÄVLEBORGS LÄN</t>
        </is>
      </c>
      <c r="E83" t="inlineStr">
        <is>
          <t>HOFORS</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44791-2019</t>
        </is>
      </c>
      <c r="B84" s="1" t="n">
        <v>43707</v>
      </c>
      <c r="C84" s="1" t="n">
        <v>45877</v>
      </c>
      <c r="D84" t="inlineStr">
        <is>
          <t>GÄVLEBORGS LÄN</t>
        </is>
      </c>
      <c r="E84" t="inlineStr">
        <is>
          <t>HOFORS</t>
        </is>
      </c>
      <c r="G84" t="n">
        <v>14.7</v>
      </c>
      <c r="H84" t="n">
        <v>0</v>
      </c>
      <c r="I84" t="n">
        <v>0</v>
      </c>
      <c r="J84" t="n">
        <v>0</v>
      </c>
      <c r="K84" t="n">
        <v>0</v>
      </c>
      <c r="L84" t="n">
        <v>0</v>
      </c>
      <c r="M84" t="n">
        <v>0</v>
      </c>
      <c r="N84" t="n">
        <v>0</v>
      </c>
      <c r="O84" t="n">
        <v>0</v>
      </c>
      <c r="P84" t="n">
        <v>0</v>
      </c>
      <c r="Q84" t="n">
        <v>0</v>
      </c>
      <c r="R84" s="2" t="inlineStr"/>
    </row>
    <row r="85" ht="15" customHeight="1">
      <c r="A85" t="inlineStr">
        <is>
          <t>A 44218-2019</t>
        </is>
      </c>
      <c r="B85" s="1" t="n">
        <v>43710</v>
      </c>
      <c r="C85" s="1" t="n">
        <v>45877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44196-2019</t>
        </is>
      </c>
      <c r="B86" s="1" t="n">
        <v>43710</v>
      </c>
      <c r="C86" s="1" t="n">
        <v>45877</v>
      </c>
      <c r="D86" t="inlineStr">
        <is>
          <t>GÄVLEBORGS LÄN</t>
        </is>
      </c>
      <c r="E86" t="inlineStr">
        <is>
          <t>HOFORS</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46153-2019</t>
        </is>
      </c>
      <c r="B87" s="1" t="n">
        <v>43718</v>
      </c>
      <c r="C87" s="1" t="n">
        <v>45877</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46161-2019</t>
        </is>
      </c>
      <c r="B88" s="1" t="n">
        <v>43718</v>
      </c>
      <c r="C88" s="1" t="n">
        <v>45877</v>
      </c>
      <c r="D88" t="inlineStr">
        <is>
          <t>GÄVLEBORGS LÄN</t>
        </is>
      </c>
      <c r="E88" t="inlineStr">
        <is>
          <t>HOFORS</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49361-2019</t>
        </is>
      </c>
      <c r="B89" s="1" t="n">
        <v>43731</v>
      </c>
      <c r="C89" s="1" t="n">
        <v>45877</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49296-2019</t>
        </is>
      </c>
      <c r="B90" s="1" t="n">
        <v>43731</v>
      </c>
      <c r="C90" s="1" t="n">
        <v>45877</v>
      </c>
      <c r="D90" t="inlineStr">
        <is>
          <t>GÄVLEBORGS LÄN</t>
        </is>
      </c>
      <c r="E90" t="inlineStr">
        <is>
          <t>HOFORS</t>
        </is>
      </c>
      <c r="F90" t="inlineStr">
        <is>
          <t>Sveaskog</t>
        </is>
      </c>
      <c r="G90" t="n">
        <v>3.1</v>
      </c>
      <c r="H90" t="n">
        <v>0</v>
      </c>
      <c r="I90" t="n">
        <v>0</v>
      </c>
      <c r="J90" t="n">
        <v>0</v>
      </c>
      <c r="K90" t="n">
        <v>0</v>
      </c>
      <c r="L90" t="n">
        <v>0</v>
      </c>
      <c r="M90" t="n">
        <v>0</v>
      </c>
      <c r="N90" t="n">
        <v>0</v>
      </c>
      <c r="O90" t="n">
        <v>0</v>
      </c>
      <c r="P90" t="n">
        <v>0</v>
      </c>
      <c r="Q90" t="n">
        <v>0</v>
      </c>
      <c r="R90" s="2" t="inlineStr"/>
    </row>
    <row r="91" ht="15" customHeight="1">
      <c r="A91" t="inlineStr">
        <is>
          <t>A 50696-2019</t>
        </is>
      </c>
      <c r="B91" s="1" t="n">
        <v>43738</v>
      </c>
      <c r="C91" s="1" t="n">
        <v>45877</v>
      </c>
      <c r="D91" t="inlineStr">
        <is>
          <t>GÄVLEBORGS LÄN</t>
        </is>
      </c>
      <c r="E91" t="inlineStr">
        <is>
          <t>HOFORS</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50694-2019</t>
        </is>
      </c>
      <c r="B92" s="1" t="n">
        <v>43738</v>
      </c>
      <c r="C92" s="1" t="n">
        <v>45877</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51927-2019</t>
        </is>
      </c>
      <c r="B93" s="1" t="n">
        <v>43741</v>
      </c>
      <c r="C93" s="1" t="n">
        <v>45877</v>
      </c>
      <c r="D93" t="inlineStr">
        <is>
          <t>GÄVLEBORGS LÄN</t>
        </is>
      </c>
      <c r="E93" t="inlineStr">
        <is>
          <t>HOFORS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53312-2019</t>
        </is>
      </c>
      <c r="B94" s="1" t="n">
        <v>43748</v>
      </c>
      <c r="C94" s="1" t="n">
        <v>45877</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53850-2019</t>
        </is>
      </c>
      <c r="B95" s="1" t="n">
        <v>43752</v>
      </c>
      <c r="C95" s="1" t="n">
        <v>45877</v>
      </c>
      <c r="D95" t="inlineStr">
        <is>
          <t>GÄVLEBORGS LÄN</t>
        </is>
      </c>
      <c r="E95" t="inlineStr">
        <is>
          <t>HOFORS</t>
        </is>
      </c>
      <c r="F95" t="inlineStr">
        <is>
          <t>Sveaskog</t>
        </is>
      </c>
      <c r="G95" t="n">
        <v>6.1</v>
      </c>
      <c r="H95" t="n">
        <v>0</v>
      </c>
      <c r="I95" t="n">
        <v>0</v>
      </c>
      <c r="J95" t="n">
        <v>0</v>
      </c>
      <c r="K95" t="n">
        <v>0</v>
      </c>
      <c r="L95" t="n">
        <v>0</v>
      </c>
      <c r="M95" t="n">
        <v>0</v>
      </c>
      <c r="N95" t="n">
        <v>0</v>
      </c>
      <c r="O95" t="n">
        <v>0</v>
      </c>
      <c r="P95" t="n">
        <v>0</v>
      </c>
      <c r="Q95" t="n">
        <v>0</v>
      </c>
      <c r="R95" s="2" t="inlineStr"/>
    </row>
    <row r="96" ht="15" customHeight="1">
      <c r="A96" t="inlineStr">
        <is>
          <t>A 53908-2019</t>
        </is>
      </c>
      <c r="B96" s="1" t="n">
        <v>43752</v>
      </c>
      <c r="C96" s="1" t="n">
        <v>45877</v>
      </c>
      <c r="D96" t="inlineStr">
        <is>
          <t>GÄVLEBORGS LÄN</t>
        </is>
      </c>
      <c r="E96" t="inlineStr">
        <is>
          <t>HOFORS</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53975-2019</t>
        </is>
      </c>
      <c r="B97" s="1" t="n">
        <v>43752</v>
      </c>
      <c r="C97" s="1" t="n">
        <v>45877</v>
      </c>
      <c r="D97" t="inlineStr">
        <is>
          <t>GÄVLEBORGS LÄN</t>
        </is>
      </c>
      <c r="E97" t="inlineStr">
        <is>
          <t>HOFORS</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53930-2019</t>
        </is>
      </c>
      <c r="B98" s="1" t="n">
        <v>43752</v>
      </c>
      <c r="C98" s="1" t="n">
        <v>45877</v>
      </c>
      <c r="D98" t="inlineStr">
        <is>
          <t>GÄVLEBORGS LÄN</t>
        </is>
      </c>
      <c r="E98" t="inlineStr">
        <is>
          <t>HOFORS</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54934-2019</t>
        </is>
      </c>
      <c r="B99" s="1" t="n">
        <v>43755</v>
      </c>
      <c r="C99" s="1" t="n">
        <v>45877</v>
      </c>
      <c r="D99" t="inlineStr">
        <is>
          <t>GÄVLEBORGS LÄN</t>
        </is>
      </c>
      <c r="E99" t="inlineStr">
        <is>
          <t>HOFORS</t>
        </is>
      </c>
      <c r="G99" t="n">
        <v>2</v>
      </c>
      <c r="H99" t="n">
        <v>0</v>
      </c>
      <c r="I99" t="n">
        <v>0</v>
      </c>
      <c r="J99" t="n">
        <v>0</v>
      </c>
      <c r="K99" t="n">
        <v>0</v>
      </c>
      <c r="L99" t="n">
        <v>0</v>
      </c>
      <c r="M99" t="n">
        <v>0</v>
      </c>
      <c r="N99" t="n">
        <v>0</v>
      </c>
      <c r="O99" t="n">
        <v>0</v>
      </c>
      <c r="P99" t="n">
        <v>0</v>
      </c>
      <c r="Q99" t="n">
        <v>0</v>
      </c>
      <c r="R99" s="2" t="inlineStr"/>
    </row>
    <row r="100" ht="15" customHeight="1">
      <c r="A100" t="inlineStr">
        <is>
          <t>A 59116-2019</t>
        </is>
      </c>
      <c r="B100" s="1" t="n">
        <v>43775</v>
      </c>
      <c r="C100" s="1" t="n">
        <v>45877</v>
      </c>
      <c r="D100" t="inlineStr">
        <is>
          <t>GÄVLEBORGS LÄN</t>
        </is>
      </c>
      <c r="E100" t="inlineStr">
        <is>
          <t>HOFORS</t>
        </is>
      </c>
      <c r="G100" t="n">
        <v>0.5</v>
      </c>
      <c r="H100" t="n">
        <v>0</v>
      </c>
      <c r="I100" t="n">
        <v>0</v>
      </c>
      <c r="J100" t="n">
        <v>0</v>
      </c>
      <c r="K100" t="n">
        <v>0</v>
      </c>
      <c r="L100" t="n">
        <v>0</v>
      </c>
      <c r="M100" t="n">
        <v>0</v>
      </c>
      <c r="N100" t="n">
        <v>0</v>
      </c>
      <c r="O100" t="n">
        <v>0</v>
      </c>
      <c r="P100" t="n">
        <v>0</v>
      </c>
      <c r="Q100" t="n">
        <v>0</v>
      </c>
      <c r="R100" s="2" t="inlineStr"/>
    </row>
    <row r="101" ht="15" customHeight="1">
      <c r="A101" t="inlineStr">
        <is>
          <t>A 59115-2019</t>
        </is>
      </c>
      <c r="B101" s="1" t="n">
        <v>43775</v>
      </c>
      <c r="C101" s="1" t="n">
        <v>45877</v>
      </c>
      <c r="D101" t="inlineStr">
        <is>
          <t>GÄVLEBORGS LÄN</t>
        </is>
      </c>
      <c r="E101" t="inlineStr">
        <is>
          <t>HOFORS</t>
        </is>
      </c>
      <c r="G101" t="n">
        <v>0.7</v>
      </c>
      <c r="H101" t="n">
        <v>0</v>
      </c>
      <c r="I101" t="n">
        <v>0</v>
      </c>
      <c r="J101" t="n">
        <v>0</v>
      </c>
      <c r="K101" t="n">
        <v>0</v>
      </c>
      <c r="L101" t="n">
        <v>0</v>
      </c>
      <c r="M101" t="n">
        <v>0</v>
      </c>
      <c r="N101" t="n">
        <v>0</v>
      </c>
      <c r="O101" t="n">
        <v>0</v>
      </c>
      <c r="P101" t="n">
        <v>0</v>
      </c>
      <c r="Q101" t="n">
        <v>0</v>
      </c>
      <c r="R101" s="2" t="inlineStr"/>
    </row>
    <row r="102" ht="15" customHeight="1">
      <c r="A102" t="inlineStr">
        <is>
          <t>A 60049-2019</t>
        </is>
      </c>
      <c r="B102" s="1" t="n">
        <v>43777</v>
      </c>
      <c r="C102" s="1" t="n">
        <v>45877</v>
      </c>
      <c r="D102" t="inlineStr">
        <is>
          <t>GÄVLEBORGS LÄN</t>
        </is>
      </c>
      <c r="E102" t="inlineStr">
        <is>
          <t>HOFORS</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60262-2019</t>
        </is>
      </c>
      <c r="B103" s="1" t="n">
        <v>43780</v>
      </c>
      <c r="C103" s="1" t="n">
        <v>45877</v>
      </c>
      <c r="D103" t="inlineStr">
        <is>
          <t>GÄVLEBORGS LÄN</t>
        </is>
      </c>
      <c r="E103" t="inlineStr">
        <is>
          <t>HOFORS</t>
        </is>
      </c>
      <c r="F103" t="inlineStr">
        <is>
          <t>Sveaskog</t>
        </is>
      </c>
      <c r="G103" t="n">
        <v>5</v>
      </c>
      <c r="H103" t="n">
        <v>0</v>
      </c>
      <c r="I103" t="n">
        <v>0</v>
      </c>
      <c r="J103" t="n">
        <v>0</v>
      </c>
      <c r="K103" t="n">
        <v>0</v>
      </c>
      <c r="L103" t="n">
        <v>0</v>
      </c>
      <c r="M103" t="n">
        <v>0</v>
      </c>
      <c r="N103" t="n">
        <v>0</v>
      </c>
      <c r="O103" t="n">
        <v>0</v>
      </c>
      <c r="P103" t="n">
        <v>0</v>
      </c>
      <c r="Q103" t="n">
        <v>0</v>
      </c>
      <c r="R103" s="2" t="inlineStr"/>
    </row>
    <row r="104" ht="15" customHeight="1">
      <c r="A104" t="inlineStr">
        <is>
          <t>A 60552-2019</t>
        </is>
      </c>
      <c r="B104" s="1" t="n">
        <v>43781</v>
      </c>
      <c r="C104" s="1" t="n">
        <v>45877</v>
      </c>
      <c r="D104" t="inlineStr">
        <is>
          <t>GÄVLEBORGS LÄN</t>
        </is>
      </c>
      <c r="E104" t="inlineStr">
        <is>
          <t>HOFORS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62091-2019</t>
        </is>
      </c>
      <c r="B105" s="1" t="n">
        <v>43782</v>
      </c>
      <c r="C105" s="1" t="n">
        <v>45877</v>
      </c>
      <c r="D105" t="inlineStr">
        <is>
          <t>GÄVLEBORGS LÄN</t>
        </is>
      </c>
      <c r="E105" t="inlineStr">
        <is>
          <t>HOFORS</t>
        </is>
      </c>
      <c r="G105" t="n">
        <v>5</v>
      </c>
      <c r="H105" t="n">
        <v>0</v>
      </c>
      <c r="I105" t="n">
        <v>0</v>
      </c>
      <c r="J105" t="n">
        <v>0</v>
      </c>
      <c r="K105" t="n">
        <v>0</v>
      </c>
      <c r="L105" t="n">
        <v>0</v>
      </c>
      <c r="M105" t="n">
        <v>0</v>
      </c>
      <c r="N105" t="n">
        <v>0</v>
      </c>
      <c r="O105" t="n">
        <v>0</v>
      </c>
      <c r="P105" t="n">
        <v>0</v>
      </c>
      <c r="Q105" t="n">
        <v>0</v>
      </c>
      <c r="R105" s="2" t="inlineStr"/>
    </row>
    <row r="106" ht="15" customHeight="1">
      <c r="A106" t="inlineStr">
        <is>
          <t>A 61168-2019</t>
        </is>
      </c>
      <c r="B106" s="1" t="n">
        <v>43782</v>
      </c>
      <c r="C106" s="1" t="n">
        <v>45877</v>
      </c>
      <c r="D106" t="inlineStr">
        <is>
          <t>GÄVLEBORGS LÄN</t>
        </is>
      </c>
      <c r="E106" t="inlineStr">
        <is>
          <t>HOFORS</t>
        </is>
      </c>
      <c r="G106" t="n">
        <v>2.9</v>
      </c>
      <c r="H106" t="n">
        <v>0</v>
      </c>
      <c r="I106" t="n">
        <v>0</v>
      </c>
      <c r="J106" t="n">
        <v>0</v>
      </c>
      <c r="K106" t="n">
        <v>0</v>
      </c>
      <c r="L106" t="n">
        <v>0</v>
      </c>
      <c r="M106" t="n">
        <v>0</v>
      </c>
      <c r="N106" t="n">
        <v>0</v>
      </c>
      <c r="O106" t="n">
        <v>0</v>
      </c>
      <c r="P106" t="n">
        <v>0</v>
      </c>
      <c r="Q106" t="n">
        <v>0</v>
      </c>
      <c r="R106" s="2" t="inlineStr"/>
    </row>
    <row r="107" ht="15" customHeight="1">
      <c r="A107" t="inlineStr">
        <is>
          <t>A 63588-2019</t>
        </is>
      </c>
      <c r="B107" s="1" t="n">
        <v>43795</v>
      </c>
      <c r="C107" s="1" t="n">
        <v>45877</v>
      </c>
      <c r="D107" t="inlineStr">
        <is>
          <t>GÄVLEBORGS LÄN</t>
        </is>
      </c>
      <c r="E107" t="inlineStr">
        <is>
          <t>HOFORS</t>
        </is>
      </c>
      <c r="G107" t="n">
        <v>1.5</v>
      </c>
      <c r="H107" t="n">
        <v>0</v>
      </c>
      <c r="I107" t="n">
        <v>0</v>
      </c>
      <c r="J107" t="n">
        <v>0</v>
      </c>
      <c r="K107" t="n">
        <v>0</v>
      </c>
      <c r="L107" t="n">
        <v>0</v>
      </c>
      <c r="M107" t="n">
        <v>0</v>
      </c>
      <c r="N107" t="n">
        <v>0</v>
      </c>
      <c r="O107" t="n">
        <v>0</v>
      </c>
      <c r="P107" t="n">
        <v>0</v>
      </c>
      <c r="Q107" t="n">
        <v>0</v>
      </c>
      <c r="R107" s="2" t="inlineStr"/>
    </row>
    <row r="108" ht="15" customHeight="1">
      <c r="A108" t="inlineStr">
        <is>
          <t>A 63585-2019</t>
        </is>
      </c>
      <c r="B108" s="1" t="n">
        <v>43795</v>
      </c>
      <c r="C108" s="1" t="n">
        <v>45877</v>
      </c>
      <c r="D108" t="inlineStr">
        <is>
          <t>GÄVLEBORGS LÄN</t>
        </is>
      </c>
      <c r="E108" t="inlineStr">
        <is>
          <t>HOFORS</t>
        </is>
      </c>
      <c r="G108" t="n">
        <v>2.2</v>
      </c>
      <c r="H108" t="n">
        <v>0</v>
      </c>
      <c r="I108" t="n">
        <v>0</v>
      </c>
      <c r="J108" t="n">
        <v>0</v>
      </c>
      <c r="K108" t="n">
        <v>0</v>
      </c>
      <c r="L108" t="n">
        <v>0</v>
      </c>
      <c r="M108" t="n">
        <v>0</v>
      </c>
      <c r="N108" t="n">
        <v>0</v>
      </c>
      <c r="O108" t="n">
        <v>0</v>
      </c>
      <c r="P108" t="n">
        <v>0</v>
      </c>
      <c r="Q108" t="n">
        <v>0</v>
      </c>
      <c r="R108" s="2" t="inlineStr"/>
    </row>
    <row r="109" ht="15" customHeight="1">
      <c r="A109" t="inlineStr">
        <is>
          <t>A 6645-2020</t>
        </is>
      </c>
      <c r="B109" s="1" t="n">
        <v>43867</v>
      </c>
      <c r="C109" s="1" t="n">
        <v>45877</v>
      </c>
      <c r="D109" t="inlineStr">
        <is>
          <t>GÄVLEBORGS LÄN</t>
        </is>
      </c>
      <c r="E109" t="inlineStr">
        <is>
          <t>HOFORS</t>
        </is>
      </c>
      <c r="G109" t="n">
        <v>0.6</v>
      </c>
      <c r="H109" t="n">
        <v>0</v>
      </c>
      <c r="I109" t="n">
        <v>0</v>
      </c>
      <c r="J109" t="n">
        <v>0</v>
      </c>
      <c r="K109" t="n">
        <v>0</v>
      </c>
      <c r="L109" t="n">
        <v>0</v>
      </c>
      <c r="M109" t="n">
        <v>0</v>
      </c>
      <c r="N109" t="n">
        <v>0</v>
      </c>
      <c r="O109" t="n">
        <v>0</v>
      </c>
      <c r="P109" t="n">
        <v>0</v>
      </c>
      <c r="Q109" t="n">
        <v>0</v>
      </c>
      <c r="R109" s="2" t="inlineStr"/>
    </row>
    <row r="110" ht="15" customHeight="1">
      <c r="A110" t="inlineStr">
        <is>
          <t>A 6678-2020</t>
        </is>
      </c>
      <c r="B110" s="1" t="n">
        <v>43867</v>
      </c>
      <c r="C110" s="1" t="n">
        <v>45877</v>
      </c>
      <c r="D110" t="inlineStr">
        <is>
          <t>GÄVLEBORGS LÄN</t>
        </is>
      </c>
      <c r="E110" t="inlineStr">
        <is>
          <t>HOFORS</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11130-2020</t>
        </is>
      </c>
      <c r="B111" s="1" t="n">
        <v>43889</v>
      </c>
      <c r="C111" s="1" t="n">
        <v>45877</v>
      </c>
      <c r="D111" t="inlineStr">
        <is>
          <t>GÄVLEBORGS LÄN</t>
        </is>
      </c>
      <c r="E111" t="inlineStr">
        <is>
          <t>HOFORS</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11131-2020</t>
        </is>
      </c>
      <c r="B112" s="1" t="n">
        <v>43889</v>
      </c>
      <c r="C112" s="1" t="n">
        <v>45877</v>
      </c>
      <c r="D112" t="inlineStr">
        <is>
          <t>GÄVLEBORGS LÄN</t>
        </is>
      </c>
      <c r="E112" t="inlineStr">
        <is>
          <t>HOFORS</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11133-2020</t>
        </is>
      </c>
      <c r="B113" s="1" t="n">
        <v>43889</v>
      </c>
      <c r="C113" s="1" t="n">
        <v>45877</v>
      </c>
      <c r="D113" t="inlineStr">
        <is>
          <t>GÄVLEBORGS LÄN</t>
        </is>
      </c>
      <c r="E113" t="inlineStr">
        <is>
          <t>HOFORS</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12406-2020</t>
        </is>
      </c>
      <c r="B114" s="1" t="n">
        <v>43896</v>
      </c>
      <c r="C114" s="1" t="n">
        <v>45877</v>
      </c>
      <c r="D114" t="inlineStr">
        <is>
          <t>GÄVLEBORGS LÄN</t>
        </is>
      </c>
      <c r="E114" t="inlineStr">
        <is>
          <t>HOFORS</t>
        </is>
      </c>
      <c r="G114" t="n">
        <v>0.9</v>
      </c>
      <c r="H114" t="n">
        <v>0</v>
      </c>
      <c r="I114" t="n">
        <v>0</v>
      </c>
      <c r="J114" t="n">
        <v>0</v>
      </c>
      <c r="K114" t="n">
        <v>0</v>
      </c>
      <c r="L114" t="n">
        <v>0</v>
      </c>
      <c r="M114" t="n">
        <v>0</v>
      </c>
      <c r="N114" t="n">
        <v>0</v>
      </c>
      <c r="O114" t="n">
        <v>0</v>
      </c>
      <c r="P114" t="n">
        <v>0</v>
      </c>
      <c r="Q114" t="n">
        <v>0</v>
      </c>
      <c r="R114" s="2" t="inlineStr"/>
    </row>
    <row r="115" ht="15" customHeight="1">
      <c r="A115" t="inlineStr">
        <is>
          <t>A 28681-2020</t>
        </is>
      </c>
      <c r="B115" s="1" t="n">
        <v>43999</v>
      </c>
      <c r="C115" s="1" t="n">
        <v>45877</v>
      </c>
      <c r="D115" t="inlineStr">
        <is>
          <t>GÄVLEBORGS LÄN</t>
        </is>
      </c>
      <c r="E115" t="inlineStr">
        <is>
          <t>HOFORS</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29321-2020</t>
        </is>
      </c>
      <c r="B116" s="1" t="n">
        <v>44000</v>
      </c>
      <c r="C116" s="1" t="n">
        <v>45877</v>
      </c>
      <c r="D116" t="inlineStr">
        <is>
          <t>GÄVLEBORGS LÄN</t>
        </is>
      </c>
      <c r="E116" t="inlineStr">
        <is>
          <t>HOFORS</t>
        </is>
      </c>
      <c r="G116" t="n">
        <v>7.1</v>
      </c>
      <c r="H116" t="n">
        <v>0</v>
      </c>
      <c r="I116" t="n">
        <v>0</v>
      </c>
      <c r="J116" t="n">
        <v>0</v>
      </c>
      <c r="K116" t="n">
        <v>0</v>
      </c>
      <c r="L116" t="n">
        <v>0</v>
      </c>
      <c r="M116" t="n">
        <v>0</v>
      </c>
      <c r="N116" t="n">
        <v>0</v>
      </c>
      <c r="O116" t="n">
        <v>0</v>
      </c>
      <c r="P116" t="n">
        <v>0</v>
      </c>
      <c r="Q116" t="n">
        <v>0</v>
      </c>
      <c r="R116" s="2" t="inlineStr"/>
    </row>
    <row r="117" ht="15" customHeight="1">
      <c r="A117" t="inlineStr">
        <is>
          <t>A 31794-2020</t>
        </is>
      </c>
      <c r="B117" s="1" t="n">
        <v>44014</v>
      </c>
      <c r="C117" s="1" t="n">
        <v>45877</v>
      </c>
      <c r="D117" t="inlineStr">
        <is>
          <t>GÄVLEBORGS LÄN</t>
        </is>
      </c>
      <c r="E117" t="inlineStr">
        <is>
          <t>HOFORS</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32342-2020</t>
        </is>
      </c>
      <c r="B118" s="1" t="n">
        <v>44016</v>
      </c>
      <c r="C118" s="1" t="n">
        <v>45877</v>
      </c>
      <c r="D118" t="inlineStr">
        <is>
          <t>GÄVLEBORGS LÄN</t>
        </is>
      </c>
      <c r="E118" t="inlineStr">
        <is>
          <t>HOFORS</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36111-2020</t>
        </is>
      </c>
      <c r="B119" s="1" t="n">
        <v>44048</v>
      </c>
      <c r="C119" s="1" t="n">
        <v>45877</v>
      </c>
      <c r="D119" t="inlineStr">
        <is>
          <t>GÄVLEBORGS LÄN</t>
        </is>
      </c>
      <c r="E119" t="inlineStr">
        <is>
          <t>HOFORS</t>
        </is>
      </c>
      <c r="G119" t="n">
        <v>1.3</v>
      </c>
      <c r="H119" t="n">
        <v>0</v>
      </c>
      <c r="I119" t="n">
        <v>0</v>
      </c>
      <c r="J119" t="n">
        <v>0</v>
      </c>
      <c r="K119" t="n">
        <v>0</v>
      </c>
      <c r="L119" t="n">
        <v>0</v>
      </c>
      <c r="M119" t="n">
        <v>0</v>
      </c>
      <c r="N119" t="n">
        <v>0</v>
      </c>
      <c r="O119" t="n">
        <v>0</v>
      </c>
      <c r="P119" t="n">
        <v>0</v>
      </c>
      <c r="Q119" t="n">
        <v>0</v>
      </c>
      <c r="R119" s="2" t="inlineStr"/>
    </row>
    <row r="120" ht="15" customHeight="1">
      <c r="A120" t="inlineStr">
        <is>
          <t>A 36467-2020</t>
        </is>
      </c>
      <c r="B120" s="1" t="n">
        <v>44049</v>
      </c>
      <c r="C120" s="1" t="n">
        <v>45877</v>
      </c>
      <c r="D120" t="inlineStr">
        <is>
          <t>GÄVLEBORGS LÄN</t>
        </is>
      </c>
      <c r="E120" t="inlineStr">
        <is>
          <t>HOFORS</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37851-2020</t>
        </is>
      </c>
      <c r="B121" s="1" t="n">
        <v>44057</v>
      </c>
      <c r="C121" s="1" t="n">
        <v>45877</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42959-2020</t>
        </is>
      </c>
      <c r="B122" s="1" t="n">
        <v>44078</v>
      </c>
      <c r="C122" s="1" t="n">
        <v>45877</v>
      </c>
      <c r="D122" t="inlineStr">
        <is>
          <t>GÄVLEBORGS LÄN</t>
        </is>
      </c>
      <c r="E122" t="inlineStr">
        <is>
          <t>HOFORS</t>
        </is>
      </c>
      <c r="G122" t="n">
        <v>0.7</v>
      </c>
      <c r="H122" t="n">
        <v>0</v>
      </c>
      <c r="I122" t="n">
        <v>0</v>
      </c>
      <c r="J122" t="n">
        <v>0</v>
      </c>
      <c r="K122" t="n">
        <v>0</v>
      </c>
      <c r="L122" t="n">
        <v>0</v>
      </c>
      <c r="M122" t="n">
        <v>0</v>
      </c>
      <c r="N122" t="n">
        <v>0</v>
      </c>
      <c r="O122" t="n">
        <v>0</v>
      </c>
      <c r="P122" t="n">
        <v>0</v>
      </c>
      <c r="Q122" t="n">
        <v>0</v>
      </c>
      <c r="R122" s="2" t="inlineStr"/>
    </row>
    <row r="123" ht="15" customHeight="1">
      <c r="A123" t="inlineStr">
        <is>
          <t>A 43907-2020</t>
        </is>
      </c>
      <c r="B123" s="1" t="n">
        <v>44083</v>
      </c>
      <c r="C123" s="1" t="n">
        <v>45877</v>
      </c>
      <c r="D123" t="inlineStr">
        <is>
          <t>GÄVLEBORGS LÄN</t>
        </is>
      </c>
      <c r="E123" t="inlineStr">
        <is>
          <t>HOFORS</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44230-2020</t>
        </is>
      </c>
      <c r="B124" s="1" t="n">
        <v>44084</v>
      </c>
      <c r="C124" s="1" t="n">
        <v>45877</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46269-2020</t>
        </is>
      </c>
      <c r="B125" s="1" t="n">
        <v>44092</v>
      </c>
      <c r="C125" s="1" t="n">
        <v>45877</v>
      </c>
      <c r="D125" t="inlineStr">
        <is>
          <t>GÄVLEBORGS LÄN</t>
        </is>
      </c>
      <c r="E125" t="inlineStr">
        <is>
          <t>HOFORS</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46274-2020</t>
        </is>
      </c>
      <c r="B126" s="1" t="n">
        <v>44092</v>
      </c>
      <c r="C126" s="1" t="n">
        <v>45877</v>
      </c>
      <c r="D126" t="inlineStr">
        <is>
          <t>GÄVLEBORGS LÄN</t>
        </is>
      </c>
      <c r="E126" t="inlineStr">
        <is>
          <t>HOFORS</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46281-2020</t>
        </is>
      </c>
      <c r="B127" s="1" t="n">
        <v>44092</v>
      </c>
      <c r="C127" s="1" t="n">
        <v>45877</v>
      </c>
      <c r="D127" t="inlineStr">
        <is>
          <t>GÄVLEBORGS LÄN</t>
        </is>
      </c>
      <c r="E127" t="inlineStr">
        <is>
          <t>HOFORS</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46270-2020</t>
        </is>
      </c>
      <c r="B128" s="1" t="n">
        <v>44092</v>
      </c>
      <c r="C128" s="1" t="n">
        <v>45877</v>
      </c>
      <c r="D128" t="inlineStr">
        <is>
          <t>GÄVLEBORGS LÄN</t>
        </is>
      </c>
      <c r="E128" t="inlineStr">
        <is>
          <t>HOFORS</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46278-2020</t>
        </is>
      </c>
      <c r="B129" s="1" t="n">
        <v>44092</v>
      </c>
      <c r="C129" s="1" t="n">
        <v>45877</v>
      </c>
      <c r="D129" t="inlineStr">
        <is>
          <t>GÄVLEBORGS LÄN</t>
        </is>
      </c>
      <c r="E129" t="inlineStr">
        <is>
          <t>HOFORS</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49708-2020</t>
        </is>
      </c>
      <c r="B130" s="1" t="n">
        <v>44106</v>
      </c>
      <c r="C130" s="1" t="n">
        <v>45877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55301-2020</t>
        </is>
      </c>
      <c r="B131" s="1" t="n">
        <v>44130</v>
      </c>
      <c r="C131" s="1" t="n">
        <v>45877</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56671-2020</t>
        </is>
      </c>
      <c r="B132" s="1" t="n">
        <v>44137</v>
      </c>
      <c r="C132" s="1" t="n">
        <v>45877</v>
      </c>
      <c r="D132" t="inlineStr">
        <is>
          <t>GÄVLEBORGS LÄN</t>
        </is>
      </c>
      <c r="E132" t="inlineStr">
        <is>
          <t>HOFORS</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56603-2020</t>
        </is>
      </c>
      <c r="B133" s="1" t="n">
        <v>44137</v>
      </c>
      <c r="C133" s="1" t="n">
        <v>45877</v>
      </c>
      <c r="D133" t="inlineStr">
        <is>
          <t>GÄVLEBORGS LÄN</t>
        </is>
      </c>
      <c r="E133" t="inlineStr">
        <is>
          <t>HOFORS</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58322-2020</t>
        </is>
      </c>
      <c r="B134" s="1" t="n">
        <v>44145</v>
      </c>
      <c r="C134" s="1" t="n">
        <v>45877</v>
      </c>
      <c r="D134" t="inlineStr">
        <is>
          <t>GÄVLEBORGS LÄN</t>
        </is>
      </c>
      <c r="E134" t="inlineStr">
        <is>
          <t>HOFORS</t>
        </is>
      </c>
      <c r="G134" t="n">
        <v>0.5</v>
      </c>
      <c r="H134" t="n">
        <v>0</v>
      </c>
      <c r="I134" t="n">
        <v>0</v>
      </c>
      <c r="J134" t="n">
        <v>0</v>
      </c>
      <c r="K134" t="n">
        <v>0</v>
      </c>
      <c r="L134" t="n">
        <v>0</v>
      </c>
      <c r="M134" t="n">
        <v>0</v>
      </c>
      <c r="N134" t="n">
        <v>0</v>
      </c>
      <c r="O134" t="n">
        <v>0</v>
      </c>
      <c r="P134" t="n">
        <v>0</v>
      </c>
      <c r="Q134" t="n">
        <v>0</v>
      </c>
      <c r="R134" s="2" t="inlineStr"/>
    </row>
    <row r="135" ht="15" customHeight="1">
      <c r="A135" t="inlineStr">
        <is>
          <t>A 58338-2020</t>
        </is>
      </c>
      <c r="B135" s="1" t="n">
        <v>44145</v>
      </c>
      <c r="C135" s="1" t="n">
        <v>45877</v>
      </c>
      <c r="D135" t="inlineStr">
        <is>
          <t>GÄVLEBORGS LÄN</t>
        </is>
      </c>
      <c r="E135" t="inlineStr">
        <is>
          <t>HOFORS</t>
        </is>
      </c>
      <c r="G135" t="n">
        <v>1.8</v>
      </c>
      <c r="H135" t="n">
        <v>0</v>
      </c>
      <c r="I135" t="n">
        <v>0</v>
      </c>
      <c r="J135" t="n">
        <v>0</v>
      </c>
      <c r="K135" t="n">
        <v>0</v>
      </c>
      <c r="L135" t="n">
        <v>0</v>
      </c>
      <c r="M135" t="n">
        <v>0</v>
      </c>
      <c r="N135" t="n">
        <v>0</v>
      </c>
      <c r="O135" t="n">
        <v>0</v>
      </c>
      <c r="P135" t="n">
        <v>0</v>
      </c>
      <c r="Q135" t="n">
        <v>0</v>
      </c>
      <c r="R135" s="2" t="inlineStr"/>
    </row>
    <row r="136" ht="15" customHeight="1">
      <c r="A136" t="inlineStr">
        <is>
          <t>A 61836-2020</t>
        </is>
      </c>
      <c r="B136" s="1" t="n">
        <v>44159</v>
      </c>
      <c r="C136" s="1" t="n">
        <v>45877</v>
      </c>
      <c r="D136" t="inlineStr">
        <is>
          <t>GÄVLEBORGS LÄN</t>
        </is>
      </c>
      <c r="E136" t="inlineStr">
        <is>
          <t>HOFORS</t>
        </is>
      </c>
      <c r="G136" t="n">
        <v>12.4</v>
      </c>
      <c r="H136" t="n">
        <v>0</v>
      </c>
      <c r="I136" t="n">
        <v>0</v>
      </c>
      <c r="J136" t="n">
        <v>0</v>
      </c>
      <c r="K136" t="n">
        <v>0</v>
      </c>
      <c r="L136" t="n">
        <v>0</v>
      </c>
      <c r="M136" t="n">
        <v>0</v>
      </c>
      <c r="N136" t="n">
        <v>0</v>
      </c>
      <c r="O136" t="n">
        <v>0</v>
      </c>
      <c r="P136" t="n">
        <v>0</v>
      </c>
      <c r="Q136" t="n">
        <v>0</v>
      </c>
      <c r="R136" s="2" t="inlineStr"/>
    </row>
    <row r="137" ht="15" customHeight="1">
      <c r="A137" t="inlineStr">
        <is>
          <t>A 61835-2020</t>
        </is>
      </c>
      <c r="B137" s="1" t="n">
        <v>44159</v>
      </c>
      <c r="C137" s="1" t="n">
        <v>45877</v>
      </c>
      <c r="D137" t="inlineStr">
        <is>
          <t>GÄVLEBORGS LÄN</t>
        </is>
      </c>
      <c r="E137" t="inlineStr">
        <is>
          <t>HOFORS</t>
        </is>
      </c>
      <c r="G137" t="n">
        <v>9.4</v>
      </c>
      <c r="H137" t="n">
        <v>0</v>
      </c>
      <c r="I137" t="n">
        <v>0</v>
      </c>
      <c r="J137" t="n">
        <v>0</v>
      </c>
      <c r="K137" t="n">
        <v>0</v>
      </c>
      <c r="L137" t="n">
        <v>0</v>
      </c>
      <c r="M137" t="n">
        <v>0</v>
      </c>
      <c r="N137" t="n">
        <v>0</v>
      </c>
      <c r="O137" t="n">
        <v>0</v>
      </c>
      <c r="P137" t="n">
        <v>0</v>
      </c>
      <c r="Q137" t="n">
        <v>0</v>
      </c>
      <c r="R137" s="2" t="inlineStr"/>
    </row>
    <row r="138" ht="15" customHeight="1">
      <c r="A138" t="inlineStr">
        <is>
          <t>A 62475-2020</t>
        </is>
      </c>
      <c r="B138" s="1" t="n">
        <v>44160</v>
      </c>
      <c r="C138" s="1" t="n">
        <v>45877</v>
      </c>
      <c r="D138" t="inlineStr">
        <is>
          <t>GÄVLEBORGS LÄN</t>
        </is>
      </c>
      <c r="E138" t="inlineStr">
        <is>
          <t>HOFORS</t>
        </is>
      </c>
      <c r="G138" t="n">
        <v>1.2</v>
      </c>
      <c r="H138" t="n">
        <v>0</v>
      </c>
      <c r="I138" t="n">
        <v>0</v>
      </c>
      <c r="J138" t="n">
        <v>0</v>
      </c>
      <c r="K138" t="n">
        <v>0</v>
      </c>
      <c r="L138" t="n">
        <v>0</v>
      </c>
      <c r="M138" t="n">
        <v>0</v>
      </c>
      <c r="N138" t="n">
        <v>0</v>
      </c>
      <c r="O138" t="n">
        <v>0</v>
      </c>
      <c r="P138" t="n">
        <v>0</v>
      </c>
      <c r="Q138" t="n">
        <v>0</v>
      </c>
      <c r="R138" s="2" t="inlineStr"/>
    </row>
    <row r="139" ht="15" customHeight="1">
      <c r="A139" t="inlineStr">
        <is>
          <t>A 63951-2020</t>
        </is>
      </c>
      <c r="B139" s="1" t="n">
        <v>44167</v>
      </c>
      <c r="C139" s="1" t="n">
        <v>45877</v>
      </c>
      <c r="D139" t="inlineStr">
        <is>
          <t>GÄVLEBORGS LÄN</t>
        </is>
      </c>
      <c r="E139" t="inlineStr">
        <is>
          <t>HOFORS</t>
        </is>
      </c>
      <c r="G139" t="n">
        <v>3.2</v>
      </c>
      <c r="H139" t="n">
        <v>0</v>
      </c>
      <c r="I139" t="n">
        <v>0</v>
      </c>
      <c r="J139" t="n">
        <v>0</v>
      </c>
      <c r="K139" t="n">
        <v>0</v>
      </c>
      <c r="L139" t="n">
        <v>0</v>
      </c>
      <c r="M139" t="n">
        <v>0</v>
      </c>
      <c r="N139" t="n">
        <v>0</v>
      </c>
      <c r="O139" t="n">
        <v>0</v>
      </c>
      <c r="P139" t="n">
        <v>0</v>
      </c>
      <c r="Q139" t="n">
        <v>0</v>
      </c>
      <c r="R139" s="2" t="inlineStr"/>
    </row>
    <row r="140" ht="15" customHeight="1">
      <c r="A140" t="inlineStr">
        <is>
          <t>A 68397-2020</t>
        </is>
      </c>
      <c r="B140" s="1" t="n">
        <v>44186</v>
      </c>
      <c r="C140" s="1" t="n">
        <v>45877</v>
      </c>
      <c r="D140" t="inlineStr">
        <is>
          <t>GÄVLEBORGS LÄN</t>
        </is>
      </c>
      <c r="E140" t="inlineStr">
        <is>
          <t>HOFORS</t>
        </is>
      </c>
      <c r="G140" t="n">
        <v>4.1</v>
      </c>
      <c r="H140" t="n">
        <v>0</v>
      </c>
      <c r="I140" t="n">
        <v>0</v>
      </c>
      <c r="J140" t="n">
        <v>0</v>
      </c>
      <c r="K140" t="n">
        <v>0</v>
      </c>
      <c r="L140" t="n">
        <v>0</v>
      </c>
      <c r="M140" t="n">
        <v>0</v>
      </c>
      <c r="N140" t="n">
        <v>0</v>
      </c>
      <c r="O140" t="n">
        <v>0</v>
      </c>
      <c r="P140" t="n">
        <v>0</v>
      </c>
      <c r="Q140" t="n">
        <v>0</v>
      </c>
      <c r="R140" s="2" t="inlineStr"/>
    </row>
    <row r="141" ht="15" customHeight="1">
      <c r="A141" t="inlineStr">
        <is>
          <t>A 3802-2021</t>
        </is>
      </c>
      <c r="B141" s="1" t="n">
        <v>44221</v>
      </c>
      <c r="C141" s="1" t="n">
        <v>45877</v>
      </c>
      <c r="D141" t="inlineStr">
        <is>
          <t>GÄVLEBORGS LÄN</t>
        </is>
      </c>
      <c r="E141" t="inlineStr">
        <is>
          <t>HOFORS</t>
        </is>
      </c>
      <c r="G141" t="n">
        <v>0.7</v>
      </c>
      <c r="H141" t="n">
        <v>0</v>
      </c>
      <c r="I141" t="n">
        <v>0</v>
      </c>
      <c r="J141" t="n">
        <v>0</v>
      </c>
      <c r="K141" t="n">
        <v>0</v>
      </c>
      <c r="L141" t="n">
        <v>0</v>
      </c>
      <c r="M141" t="n">
        <v>0</v>
      </c>
      <c r="N141" t="n">
        <v>0</v>
      </c>
      <c r="O141" t="n">
        <v>0</v>
      </c>
      <c r="P141" t="n">
        <v>0</v>
      </c>
      <c r="Q141" t="n">
        <v>0</v>
      </c>
      <c r="R141" s="2" t="inlineStr"/>
    </row>
    <row r="142" ht="15" customHeight="1">
      <c r="A142" t="inlineStr">
        <is>
          <t>A 5557-2021</t>
        </is>
      </c>
      <c r="B142" s="1" t="n">
        <v>44230</v>
      </c>
      <c r="C142" s="1" t="n">
        <v>45877</v>
      </c>
      <c r="D142" t="inlineStr">
        <is>
          <t>GÄVLEBORGS LÄN</t>
        </is>
      </c>
      <c r="E142" t="inlineStr">
        <is>
          <t>HOFORS</t>
        </is>
      </c>
      <c r="G142" t="n">
        <v>4</v>
      </c>
      <c r="H142" t="n">
        <v>0</v>
      </c>
      <c r="I142" t="n">
        <v>0</v>
      </c>
      <c r="J142" t="n">
        <v>0</v>
      </c>
      <c r="K142" t="n">
        <v>0</v>
      </c>
      <c r="L142" t="n">
        <v>0</v>
      </c>
      <c r="M142" t="n">
        <v>0</v>
      </c>
      <c r="N142" t="n">
        <v>0</v>
      </c>
      <c r="O142" t="n">
        <v>0</v>
      </c>
      <c r="P142" t="n">
        <v>0</v>
      </c>
      <c r="Q142" t="n">
        <v>0</v>
      </c>
      <c r="R142" s="2" t="inlineStr"/>
    </row>
    <row r="143" ht="15" customHeight="1">
      <c r="A143" t="inlineStr">
        <is>
          <t>A 12057-2021</t>
        </is>
      </c>
      <c r="B143" s="1" t="n">
        <v>44266</v>
      </c>
      <c r="C143" s="1" t="n">
        <v>45877</v>
      </c>
      <c r="D143" t="inlineStr">
        <is>
          <t>GÄVLEBORGS LÄN</t>
        </is>
      </c>
      <c r="E143" t="inlineStr">
        <is>
          <t>HOFORS</t>
        </is>
      </c>
      <c r="G143" t="n">
        <v>2.6</v>
      </c>
      <c r="H143" t="n">
        <v>0</v>
      </c>
      <c r="I143" t="n">
        <v>0</v>
      </c>
      <c r="J143" t="n">
        <v>0</v>
      </c>
      <c r="K143" t="n">
        <v>0</v>
      </c>
      <c r="L143" t="n">
        <v>0</v>
      </c>
      <c r="M143" t="n">
        <v>0</v>
      </c>
      <c r="N143" t="n">
        <v>0</v>
      </c>
      <c r="O143" t="n">
        <v>0</v>
      </c>
      <c r="P143" t="n">
        <v>0</v>
      </c>
      <c r="Q143" t="n">
        <v>0</v>
      </c>
      <c r="R143" s="2" t="inlineStr"/>
    </row>
    <row r="144" ht="15" customHeight="1">
      <c r="A144" t="inlineStr">
        <is>
          <t>A 12399-2021</t>
        </is>
      </c>
      <c r="B144" s="1" t="n">
        <v>44267</v>
      </c>
      <c r="C144" s="1" t="n">
        <v>45877</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16985-2021</t>
        </is>
      </c>
      <c r="B145" s="1" t="n">
        <v>44295</v>
      </c>
      <c r="C145" s="1" t="n">
        <v>45877</v>
      </c>
      <c r="D145" t="inlineStr">
        <is>
          <t>GÄVLEBORGS LÄN</t>
        </is>
      </c>
      <c r="E145" t="inlineStr">
        <is>
          <t>HOFORS</t>
        </is>
      </c>
      <c r="G145" t="n">
        <v>0.6</v>
      </c>
      <c r="H145" t="n">
        <v>0</v>
      </c>
      <c r="I145" t="n">
        <v>0</v>
      </c>
      <c r="J145" t="n">
        <v>0</v>
      </c>
      <c r="K145" t="n">
        <v>0</v>
      </c>
      <c r="L145" t="n">
        <v>0</v>
      </c>
      <c r="M145" t="n">
        <v>0</v>
      </c>
      <c r="N145" t="n">
        <v>0</v>
      </c>
      <c r="O145" t="n">
        <v>0</v>
      </c>
      <c r="P145" t="n">
        <v>0</v>
      </c>
      <c r="Q145" t="n">
        <v>0</v>
      </c>
      <c r="R145" s="2" t="inlineStr"/>
    </row>
    <row r="146" ht="15" customHeight="1">
      <c r="A146" t="inlineStr">
        <is>
          <t>A 20119-2021</t>
        </is>
      </c>
      <c r="B146" s="1" t="n">
        <v>44314</v>
      </c>
      <c r="C146" s="1" t="n">
        <v>45877</v>
      </c>
      <c r="D146" t="inlineStr">
        <is>
          <t>GÄVLEBORGS LÄN</t>
        </is>
      </c>
      <c r="E146" t="inlineStr">
        <is>
          <t>HOFORS</t>
        </is>
      </c>
      <c r="G146" t="n">
        <v>3.9</v>
      </c>
      <c r="H146" t="n">
        <v>0</v>
      </c>
      <c r="I146" t="n">
        <v>0</v>
      </c>
      <c r="J146" t="n">
        <v>0</v>
      </c>
      <c r="K146" t="n">
        <v>0</v>
      </c>
      <c r="L146" t="n">
        <v>0</v>
      </c>
      <c r="M146" t="n">
        <v>0</v>
      </c>
      <c r="N146" t="n">
        <v>0</v>
      </c>
      <c r="O146" t="n">
        <v>0</v>
      </c>
      <c r="P146" t="n">
        <v>0</v>
      </c>
      <c r="Q146" t="n">
        <v>0</v>
      </c>
      <c r="R146" s="2" t="inlineStr"/>
    </row>
    <row r="147" ht="15" customHeight="1">
      <c r="A147" t="inlineStr">
        <is>
          <t>A 24851-2021</t>
        </is>
      </c>
      <c r="B147" s="1" t="n">
        <v>44340</v>
      </c>
      <c r="C147" s="1" t="n">
        <v>45877</v>
      </c>
      <c r="D147" t="inlineStr">
        <is>
          <t>GÄVLEBORGS LÄN</t>
        </is>
      </c>
      <c r="E147" t="inlineStr">
        <is>
          <t>HOFORS</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31123-2021</t>
        </is>
      </c>
      <c r="B148" s="1" t="n">
        <v>44368</v>
      </c>
      <c r="C148" s="1" t="n">
        <v>45877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43274-2021</t>
        </is>
      </c>
      <c r="B149" s="1" t="n">
        <v>44432</v>
      </c>
      <c r="C149" s="1" t="n">
        <v>45877</v>
      </c>
      <c r="D149" t="inlineStr">
        <is>
          <t>GÄVLEBORGS LÄN</t>
        </is>
      </c>
      <c r="E149" t="inlineStr">
        <is>
          <t>HOFORS</t>
        </is>
      </c>
      <c r="F149" t="inlineStr">
        <is>
          <t>Sveaskog</t>
        </is>
      </c>
      <c r="G149" t="n">
        <v>5.8</v>
      </c>
      <c r="H149" t="n">
        <v>0</v>
      </c>
      <c r="I149" t="n">
        <v>0</v>
      </c>
      <c r="J149" t="n">
        <v>0</v>
      </c>
      <c r="K149" t="n">
        <v>0</v>
      </c>
      <c r="L149" t="n">
        <v>0</v>
      </c>
      <c r="M149" t="n">
        <v>0</v>
      </c>
      <c r="N149" t="n">
        <v>0</v>
      </c>
      <c r="O149" t="n">
        <v>0</v>
      </c>
      <c r="P149" t="n">
        <v>0</v>
      </c>
      <c r="Q149" t="n">
        <v>0</v>
      </c>
      <c r="R149" s="2" t="inlineStr"/>
    </row>
    <row r="150" ht="15" customHeight="1">
      <c r="A150" t="inlineStr">
        <is>
          <t>A 43282-2021</t>
        </is>
      </c>
      <c r="B150" s="1" t="n">
        <v>44432</v>
      </c>
      <c r="C150" s="1" t="n">
        <v>45877</v>
      </c>
      <c r="D150" t="inlineStr">
        <is>
          <t>GÄVLEBORGS LÄN</t>
        </is>
      </c>
      <c r="E150" t="inlineStr">
        <is>
          <t>HOFORS</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46364-2021</t>
        </is>
      </c>
      <c r="B151" s="1" t="n">
        <v>44442</v>
      </c>
      <c r="C151" s="1" t="n">
        <v>45877</v>
      </c>
      <c r="D151" t="inlineStr">
        <is>
          <t>GÄVLEBORGS LÄN</t>
        </is>
      </c>
      <c r="E151" t="inlineStr">
        <is>
          <t>HOFORS</t>
        </is>
      </c>
      <c r="F151" t="inlineStr">
        <is>
          <t>Sveaskog</t>
        </is>
      </c>
      <c r="G151" t="n">
        <v>4.4</v>
      </c>
      <c r="H151" t="n">
        <v>0</v>
      </c>
      <c r="I151" t="n">
        <v>0</v>
      </c>
      <c r="J151" t="n">
        <v>0</v>
      </c>
      <c r="K151" t="n">
        <v>0</v>
      </c>
      <c r="L151" t="n">
        <v>0</v>
      </c>
      <c r="M151" t="n">
        <v>0</v>
      </c>
      <c r="N151" t="n">
        <v>0</v>
      </c>
      <c r="O151" t="n">
        <v>0</v>
      </c>
      <c r="P151" t="n">
        <v>0</v>
      </c>
      <c r="Q151" t="n">
        <v>0</v>
      </c>
      <c r="R151" s="2" t="inlineStr"/>
      <c r="U151">
        <f>HYPERLINK("https://klasma.github.io/Logging_2104/knärot/A 46364-2021 karta knärot.png", "A 46364-2021")</f>
        <v/>
      </c>
      <c r="V151">
        <f>HYPERLINK("https://klasma.github.io/Logging_2104/klagomål/A 46364-2021 FSC-klagomål.docx", "A 46364-2021")</f>
        <v/>
      </c>
      <c r="W151">
        <f>HYPERLINK("https://klasma.github.io/Logging_2104/klagomålsmail/A 46364-2021 FSC-klagomål mail.docx", "A 46364-2021")</f>
        <v/>
      </c>
      <c r="X151">
        <f>HYPERLINK("https://klasma.github.io/Logging_2104/tillsyn/A 46364-2021 tillsynsbegäran.docx", "A 46364-2021")</f>
        <v/>
      </c>
      <c r="Y151">
        <f>HYPERLINK("https://klasma.github.io/Logging_2104/tillsynsmail/A 46364-2021 tillsynsbegäran mail.docx", "A 46364-2021")</f>
        <v/>
      </c>
    </row>
    <row r="152" ht="15" customHeight="1">
      <c r="A152" t="inlineStr">
        <is>
          <t>A 47531-2021</t>
        </is>
      </c>
      <c r="B152" s="1" t="n">
        <v>44447</v>
      </c>
      <c r="C152" s="1" t="n">
        <v>45877</v>
      </c>
      <c r="D152" t="inlineStr">
        <is>
          <t>GÄVLEBORGS LÄN</t>
        </is>
      </c>
      <c r="E152" t="inlineStr">
        <is>
          <t>HOFORS</t>
        </is>
      </c>
      <c r="G152" t="n">
        <v>7.6</v>
      </c>
      <c r="H152" t="n">
        <v>0</v>
      </c>
      <c r="I152" t="n">
        <v>0</v>
      </c>
      <c r="J152" t="n">
        <v>0</v>
      </c>
      <c r="K152" t="n">
        <v>0</v>
      </c>
      <c r="L152" t="n">
        <v>0</v>
      </c>
      <c r="M152" t="n">
        <v>0</v>
      </c>
      <c r="N152" t="n">
        <v>0</v>
      </c>
      <c r="O152" t="n">
        <v>0</v>
      </c>
      <c r="P152" t="n">
        <v>0</v>
      </c>
      <c r="Q152" t="n">
        <v>0</v>
      </c>
      <c r="R152" s="2" t="inlineStr"/>
    </row>
    <row r="153" ht="15" customHeight="1">
      <c r="A153" t="inlineStr">
        <is>
          <t>A 47485-2021</t>
        </is>
      </c>
      <c r="B153" s="1" t="n">
        <v>44447</v>
      </c>
      <c r="C153" s="1" t="n">
        <v>45877</v>
      </c>
      <c r="D153" t="inlineStr">
        <is>
          <t>GÄVLEBORGS LÄN</t>
        </is>
      </c>
      <c r="E153" t="inlineStr">
        <is>
          <t>HOFORS</t>
        </is>
      </c>
      <c r="G153" t="n">
        <v>1</v>
      </c>
      <c r="H153" t="n">
        <v>0</v>
      </c>
      <c r="I153" t="n">
        <v>0</v>
      </c>
      <c r="J153" t="n">
        <v>0</v>
      </c>
      <c r="K153" t="n">
        <v>0</v>
      </c>
      <c r="L153" t="n">
        <v>0</v>
      </c>
      <c r="M153" t="n">
        <v>0</v>
      </c>
      <c r="N153" t="n">
        <v>0</v>
      </c>
      <c r="O153" t="n">
        <v>0</v>
      </c>
      <c r="P153" t="n">
        <v>0</v>
      </c>
      <c r="Q153" t="n">
        <v>0</v>
      </c>
      <c r="R153" s="2" t="inlineStr"/>
    </row>
    <row r="154" ht="15" customHeight="1">
      <c r="A154" t="inlineStr">
        <is>
          <t>A 47538-2021</t>
        </is>
      </c>
      <c r="B154" s="1" t="n">
        <v>44447</v>
      </c>
      <c r="C154" s="1" t="n">
        <v>45877</v>
      </c>
      <c r="D154" t="inlineStr">
        <is>
          <t>GÄVLEBORGS LÄN</t>
        </is>
      </c>
      <c r="E154" t="inlineStr">
        <is>
          <t>HOFORS</t>
        </is>
      </c>
      <c r="G154" t="n">
        <v>1.6</v>
      </c>
      <c r="H154" t="n">
        <v>0</v>
      </c>
      <c r="I154" t="n">
        <v>0</v>
      </c>
      <c r="J154" t="n">
        <v>0</v>
      </c>
      <c r="K154" t="n">
        <v>0</v>
      </c>
      <c r="L154" t="n">
        <v>0</v>
      </c>
      <c r="M154" t="n">
        <v>0</v>
      </c>
      <c r="N154" t="n">
        <v>0</v>
      </c>
      <c r="O154" t="n">
        <v>0</v>
      </c>
      <c r="P154" t="n">
        <v>0</v>
      </c>
      <c r="Q154" t="n">
        <v>0</v>
      </c>
      <c r="R154" s="2" t="inlineStr"/>
    </row>
    <row r="155" ht="15" customHeight="1">
      <c r="A155" t="inlineStr">
        <is>
          <t>A 47639-2021</t>
        </is>
      </c>
      <c r="B155" s="1" t="n">
        <v>44448</v>
      </c>
      <c r="C155" s="1" t="n">
        <v>45877</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50278-2021</t>
        </is>
      </c>
      <c r="B156" s="1" t="n">
        <v>44456</v>
      </c>
      <c r="C156" s="1" t="n">
        <v>45877</v>
      </c>
      <c r="D156" t="inlineStr">
        <is>
          <t>GÄVLEBORGS LÄN</t>
        </is>
      </c>
      <c r="E156" t="inlineStr">
        <is>
          <t>HOFORS</t>
        </is>
      </c>
      <c r="G156" t="n">
        <v>1.7</v>
      </c>
      <c r="H156" t="n">
        <v>0</v>
      </c>
      <c r="I156" t="n">
        <v>0</v>
      </c>
      <c r="J156" t="n">
        <v>0</v>
      </c>
      <c r="K156" t="n">
        <v>0</v>
      </c>
      <c r="L156" t="n">
        <v>0</v>
      </c>
      <c r="M156" t="n">
        <v>0</v>
      </c>
      <c r="N156" t="n">
        <v>0</v>
      </c>
      <c r="O156" t="n">
        <v>0</v>
      </c>
      <c r="P156" t="n">
        <v>0</v>
      </c>
      <c r="Q156" t="n">
        <v>0</v>
      </c>
      <c r="R156" s="2" t="inlineStr"/>
    </row>
    <row r="157" ht="15" customHeight="1">
      <c r="A157" t="inlineStr">
        <is>
          <t>A 50681-2021</t>
        </is>
      </c>
      <c r="B157" s="1" t="n">
        <v>44460</v>
      </c>
      <c r="C157" s="1" t="n">
        <v>45877</v>
      </c>
      <c r="D157" t="inlineStr">
        <is>
          <t>GÄVLEBORGS LÄN</t>
        </is>
      </c>
      <c r="E157" t="inlineStr">
        <is>
          <t>HOFORS</t>
        </is>
      </c>
      <c r="F157" t="inlineStr">
        <is>
          <t>Bergvik skog öst AB</t>
        </is>
      </c>
      <c r="G157" t="n">
        <v>1.8</v>
      </c>
      <c r="H157" t="n">
        <v>0</v>
      </c>
      <c r="I157" t="n">
        <v>0</v>
      </c>
      <c r="J157" t="n">
        <v>0</v>
      </c>
      <c r="K157" t="n">
        <v>0</v>
      </c>
      <c r="L157" t="n">
        <v>0</v>
      </c>
      <c r="M157" t="n">
        <v>0</v>
      </c>
      <c r="N157" t="n">
        <v>0</v>
      </c>
      <c r="O157" t="n">
        <v>0</v>
      </c>
      <c r="P157" t="n">
        <v>0</v>
      </c>
      <c r="Q157" t="n">
        <v>0</v>
      </c>
      <c r="R157" s="2" t="inlineStr"/>
    </row>
    <row r="158" ht="15" customHeight="1">
      <c r="A158" t="inlineStr">
        <is>
          <t>A 52890-2021</t>
        </is>
      </c>
      <c r="B158" s="1" t="n">
        <v>44467</v>
      </c>
      <c r="C158" s="1" t="n">
        <v>45877</v>
      </c>
      <c r="D158" t="inlineStr">
        <is>
          <t>GÄVLEBORGS LÄN</t>
        </is>
      </c>
      <c r="E158" t="inlineStr">
        <is>
          <t>HOFORS</t>
        </is>
      </c>
      <c r="G158" t="n">
        <v>1.5</v>
      </c>
      <c r="H158" t="n">
        <v>0</v>
      </c>
      <c r="I158" t="n">
        <v>0</v>
      </c>
      <c r="J158" t="n">
        <v>0</v>
      </c>
      <c r="K158" t="n">
        <v>0</v>
      </c>
      <c r="L158" t="n">
        <v>0</v>
      </c>
      <c r="M158" t="n">
        <v>0</v>
      </c>
      <c r="N158" t="n">
        <v>0</v>
      </c>
      <c r="O158" t="n">
        <v>0</v>
      </c>
      <c r="P158" t="n">
        <v>0</v>
      </c>
      <c r="Q158" t="n">
        <v>0</v>
      </c>
      <c r="R158" s="2" t="inlineStr"/>
    </row>
    <row r="159" ht="15" customHeight="1">
      <c r="A159" t="inlineStr">
        <is>
          <t>A 54154-2021</t>
        </is>
      </c>
      <c r="B159" s="1" t="n">
        <v>44470</v>
      </c>
      <c r="C159" s="1" t="n">
        <v>45877</v>
      </c>
      <c r="D159" t="inlineStr">
        <is>
          <t>GÄVLEBORGS LÄN</t>
        </is>
      </c>
      <c r="E159" t="inlineStr">
        <is>
          <t>HOFORS</t>
        </is>
      </c>
      <c r="F159" t="inlineStr">
        <is>
          <t>Bergvik skog öst AB</t>
        </is>
      </c>
      <c r="G159" t="n">
        <v>7.8</v>
      </c>
      <c r="H159" t="n">
        <v>0</v>
      </c>
      <c r="I159" t="n">
        <v>0</v>
      </c>
      <c r="J159" t="n">
        <v>0</v>
      </c>
      <c r="K159" t="n">
        <v>0</v>
      </c>
      <c r="L159" t="n">
        <v>0</v>
      </c>
      <c r="M159" t="n">
        <v>0</v>
      </c>
      <c r="N159" t="n">
        <v>0</v>
      </c>
      <c r="O159" t="n">
        <v>0</v>
      </c>
      <c r="P159" t="n">
        <v>0</v>
      </c>
      <c r="Q159" t="n">
        <v>0</v>
      </c>
      <c r="R159" s="2" t="inlineStr"/>
    </row>
    <row r="160" ht="15" customHeight="1">
      <c r="A160" t="inlineStr">
        <is>
          <t>A 54616-2021</t>
        </is>
      </c>
      <c r="B160" s="1" t="n">
        <v>44473</v>
      </c>
      <c r="C160" s="1" t="n">
        <v>45877</v>
      </c>
      <c r="D160" t="inlineStr">
        <is>
          <t>GÄVLEBORGS LÄN</t>
        </is>
      </c>
      <c r="E160" t="inlineStr">
        <is>
          <t>HOFORS</t>
        </is>
      </c>
      <c r="F160" t="inlineStr">
        <is>
          <t>Bergvik skog väst AB</t>
        </is>
      </c>
      <c r="G160" t="n">
        <v>6.9</v>
      </c>
      <c r="H160" t="n">
        <v>0</v>
      </c>
      <c r="I160" t="n">
        <v>0</v>
      </c>
      <c r="J160" t="n">
        <v>0</v>
      </c>
      <c r="K160" t="n">
        <v>0</v>
      </c>
      <c r="L160" t="n">
        <v>0</v>
      </c>
      <c r="M160" t="n">
        <v>0</v>
      </c>
      <c r="N160" t="n">
        <v>0</v>
      </c>
      <c r="O160" t="n">
        <v>0</v>
      </c>
      <c r="P160" t="n">
        <v>0</v>
      </c>
      <c r="Q160" t="n">
        <v>0</v>
      </c>
      <c r="R160" s="2" t="inlineStr"/>
    </row>
    <row r="161" ht="15" customHeight="1">
      <c r="A161" t="inlineStr">
        <is>
          <t>A 54826-2021</t>
        </is>
      </c>
      <c r="B161" s="1" t="n">
        <v>44473</v>
      </c>
      <c r="C161" s="1" t="n">
        <v>45877</v>
      </c>
      <c r="D161" t="inlineStr">
        <is>
          <t>GÄVLEBORGS LÄN</t>
        </is>
      </c>
      <c r="E161" t="inlineStr">
        <is>
          <t>HOFORS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57632-2021</t>
        </is>
      </c>
      <c r="B162" s="1" t="n">
        <v>44484</v>
      </c>
      <c r="C162" s="1" t="n">
        <v>45877</v>
      </c>
      <c r="D162" t="inlineStr">
        <is>
          <t>GÄVLEBORGS LÄN</t>
        </is>
      </c>
      <c r="E162" t="inlineStr">
        <is>
          <t>HOFORS</t>
        </is>
      </c>
      <c r="G162" t="n">
        <v>4.1</v>
      </c>
      <c r="H162" t="n">
        <v>0</v>
      </c>
      <c r="I162" t="n">
        <v>0</v>
      </c>
      <c r="J162" t="n">
        <v>0</v>
      </c>
      <c r="K162" t="n">
        <v>0</v>
      </c>
      <c r="L162" t="n">
        <v>0</v>
      </c>
      <c r="M162" t="n">
        <v>0</v>
      </c>
      <c r="N162" t="n">
        <v>0</v>
      </c>
      <c r="O162" t="n">
        <v>0</v>
      </c>
      <c r="P162" t="n">
        <v>0</v>
      </c>
      <c r="Q162" t="n">
        <v>0</v>
      </c>
      <c r="R162" s="2" t="inlineStr"/>
    </row>
    <row r="163" ht="15" customHeight="1">
      <c r="A163" t="inlineStr">
        <is>
          <t>A 58240-2021</t>
        </is>
      </c>
      <c r="B163" s="1" t="n">
        <v>44487</v>
      </c>
      <c r="C163" s="1" t="n">
        <v>45877</v>
      </c>
      <c r="D163" t="inlineStr">
        <is>
          <t>GÄVLEBORGS LÄN</t>
        </is>
      </c>
      <c r="E163" t="inlineStr">
        <is>
          <t>HOFORS</t>
        </is>
      </c>
      <c r="G163" t="n">
        <v>1.1</v>
      </c>
      <c r="H163" t="n">
        <v>0</v>
      </c>
      <c r="I163" t="n">
        <v>0</v>
      </c>
      <c r="J163" t="n">
        <v>0</v>
      </c>
      <c r="K163" t="n">
        <v>0</v>
      </c>
      <c r="L163" t="n">
        <v>0</v>
      </c>
      <c r="M163" t="n">
        <v>0</v>
      </c>
      <c r="N163" t="n">
        <v>0</v>
      </c>
      <c r="O163" t="n">
        <v>0</v>
      </c>
      <c r="P163" t="n">
        <v>0</v>
      </c>
      <c r="Q163" t="n">
        <v>0</v>
      </c>
      <c r="R163" s="2" t="inlineStr"/>
    </row>
    <row r="164" ht="15" customHeight="1">
      <c r="A164" t="inlineStr">
        <is>
          <t>A 58787-2021</t>
        </is>
      </c>
      <c r="B164" s="1" t="n">
        <v>44489</v>
      </c>
      <c r="C164" s="1" t="n">
        <v>45877</v>
      </c>
      <c r="D164" t="inlineStr">
        <is>
          <t>GÄVLEBORGS LÄN</t>
        </is>
      </c>
      <c r="E164" t="inlineStr">
        <is>
          <t>HOFORS</t>
        </is>
      </c>
      <c r="G164" t="n">
        <v>1.1</v>
      </c>
      <c r="H164" t="n">
        <v>0</v>
      </c>
      <c r="I164" t="n">
        <v>0</v>
      </c>
      <c r="J164" t="n">
        <v>0</v>
      </c>
      <c r="K164" t="n">
        <v>0</v>
      </c>
      <c r="L164" t="n">
        <v>0</v>
      </c>
      <c r="M164" t="n">
        <v>0</v>
      </c>
      <c r="N164" t="n">
        <v>0</v>
      </c>
      <c r="O164" t="n">
        <v>0</v>
      </c>
      <c r="P164" t="n">
        <v>0</v>
      </c>
      <c r="Q164" t="n">
        <v>0</v>
      </c>
      <c r="R164" s="2" t="inlineStr"/>
    </row>
    <row r="165" ht="15" customHeight="1">
      <c r="A165" t="inlineStr">
        <is>
          <t>A 61687-2021</t>
        </is>
      </c>
      <c r="B165" s="1" t="n">
        <v>44501</v>
      </c>
      <c r="C165" s="1" t="n">
        <v>45877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62875-2021</t>
        </is>
      </c>
      <c r="B166" s="1" t="n">
        <v>44504</v>
      </c>
      <c r="C166" s="1" t="n">
        <v>45877</v>
      </c>
      <c r="D166" t="inlineStr">
        <is>
          <t>GÄVLEBORGS LÄN</t>
        </is>
      </c>
      <c r="E166" t="inlineStr">
        <is>
          <t>HOFORS</t>
        </is>
      </c>
      <c r="G166" t="n">
        <v>1.5</v>
      </c>
      <c r="H166" t="n">
        <v>0</v>
      </c>
      <c r="I166" t="n">
        <v>0</v>
      </c>
      <c r="J166" t="n">
        <v>0</v>
      </c>
      <c r="K166" t="n">
        <v>0</v>
      </c>
      <c r="L166" t="n">
        <v>0</v>
      </c>
      <c r="M166" t="n">
        <v>0</v>
      </c>
      <c r="N166" t="n">
        <v>0</v>
      </c>
      <c r="O166" t="n">
        <v>0</v>
      </c>
      <c r="P166" t="n">
        <v>0</v>
      </c>
      <c r="Q166" t="n">
        <v>0</v>
      </c>
      <c r="R166" s="2" t="inlineStr"/>
    </row>
    <row r="167" ht="15" customHeight="1">
      <c r="A167" t="inlineStr">
        <is>
          <t>A 64706-2021</t>
        </is>
      </c>
      <c r="B167" s="1" t="n">
        <v>44512</v>
      </c>
      <c r="C167" s="1" t="n">
        <v>45877</v>
      </c>
      <c r="D167" t="inlineStr">
        <is>
          <t>GÄVLEBORGS LÄN</t>
        </is>
      </c>
      <c r="E167" t="inlineStr">
        <is>
          <t>HOFORS</t>
        </is>
      </c>
      <c r="G167" t="n">
        <v>0.6</v>
      </c>
      <c r="H167" t="n">
        <v>0</v>
      </c>
      <c r="I167" t="n">
        <v>0</v>
      </c>
      <c r="J167" t="n">
        <v>0</v>
      </c>
      <c r="K167" t="n">
        <v>0</v>
      </c>
      <c r="L167" t="n">
        <v>0</v>
      </c>
      <c r="M167" t="n">
        <v>0</v>
      </c>
      <c r="N167" t="n">
        <v>0</v>
      </c>
      <c r="O167" t="n">
        <v>0</v>
      </c>
      <c r="P167" t="n">
        <v>0</v>
      </c>
      <c r="Q167" t="n">
        <v>0</v>
      </c>
      <c r="R167" s="2" t="inlineStr"/>
    </row>
    <row r="168" ht="15" customHeight="1">
      <c r="A168" t="inlineStr">
        <is>
          <t>A 68079-2021</t>
        </is>
      </c>
      <c r="B168" s="1" t="n">
        <v>44526</v>
      </c>
      <c r="C168" s="1" t="n">
        <v>45877</v>
      </c>
      <c r="D168" t="inlineStr">
        <is>
          <t>GÄVLEBORGS LÄN</t>
        </is>
      </c>
      <c r="E168" t="inlineStr">
        <is>
          <t>HOFORS</t>
        </is>
      </c>
      <c r="G168" t="n">
        <v>2.3</v>
      </c>
      <c r="H168" t="n">
        <v>0</v>
      </c>
      <c r="I168" t="n">
        <v>0</v>
      </c>
      <c r="J168" t="n">
        <v>0</v>
      </c>
      <c r="K168" t="n">
        <v>0</v>
      </c>
      <c r="L168" t="n">
        <v>0</v>
      </c>
      <c r="M168" t="n">
        <v>0</v>
      </c>
      <c r="N168" t="n">
        <v>0</v>
      </c>
      <c r="O168" t="n">
        <v>0</v>
      </c>
      <c r="P168" t="n">
        <v>0</v>
      </c>
      <c r="Q168" t="n">
        <v>0</v>
      </c>
      <c r="R168" s="2" t="inlineStr"/>
    </row>
    <row r="169" ht="15" customHeight="1">
      <c r="A169" t="inlineStr">
        <is>
          <t>A 68076-2021</t>
        </is>
      </c>
      <c r="B169" s="1" t="n">
        <v>44526</v>
      </c>
      <c r="C169" s="1" t="n">
        <v>45877</v>
      </c>
      <c r="D169" t="inlineStr">
        <is>
          <t>GÄVLEBORGS LÄN</t>
        </is>
      </c>
      <c r="E169" t="inlineStr">
        <is>
          <t>HOFORS</t>
        </is>
      </c>
      <c r="G169" t="n">
        <v>4.2</v>
      </c>
      <c r="H169" t="n">
        <v>0</v>
      </c>
      <c r="I169" t="n">
        <v>0</v>
      </c>
      <c r="J169" t="n">
        <v>0</v>
      </c>
      <c r="K169" t="n">
        <v>0</v>
      </c>
      <c r="L169" t="n">
        <v>0</v>
      </c>
      <c r="M169" t="n">
        <v>0</v>
      </c>
      <c r="N169" t="n">
        <v>0</v>
      </c>
      <c r="O169" t="n">
        <v>0</v>
      </c>
      <c r="P169" t="n">
        <v>0</v>
      </c>
      <c r="Q169" t="n">
        <v>0</v>
      </c>
      <c r="R169" s="2" t="inlineStr"/>
    </row>
    <row r="170" ht="15" customHeight="1">
      <c r="A170" t="inlineStr">
        <is>
          <t>A 68078-2021</t>
        </is>
      </c>
      <c r="B170" s="1" t="n">
        <v>44526</v>
      </c>
      <c r="C170" s="1" t="n">
        <v>45877</v>
      </c>
      <c r="D170" t="inlineStr">
        <is>
          <t>GÄVLEBORGS LÄN</t>
        </is>
      </c>
      <c r="E170" t="inlineStr">
        <is>
          <t>HOFORS</t>
        </is>
      </c>
      <c r="G170" t="n">
        <v>1.6</v>
      </c>
      <c r="H170" t="n">
        <v>0</v>
      </c>
      <c r="I170" t="n">
        <v>0</v>
      </c>
      <c r="J170" t="n">
        <v>0</v>
      </c>
      <c r="K170" t="n">
        <v>0</v>
      </c>
      <c r="L170" t="n">
        <v>0</v>
      </c>
      <c r="M170" t="n">
        <v>0</v>
      </c>
      <c r="N170" t="n">
        <v>0</v>
      </c>
      <c r="O170" t="n">
        <v>0</v>
      </c>
      <c r="P170" t="n">
        <v>0</v>
      </c>
      <c r="Q170" t="n">
        <v>0</v>
      </c>
      <c r="R170" s="2" t="inlineStr"/>
    </row>
    <row r="171" ht="15" customHeight="1">
      <c r="A171" t="inlineStr">
        <is>
          <t>A 74255-2021</t>
        </is>
      </c>
      <c r="B171" s="1" t="n">
        <v>44558</v>
      </c>
      <c r="C171" s="1" t="n">
        <v>45877</v>
      </c>
      <c r="D171" t="inlineStr">
        <is>
          <t>GÄVLEBORGS LÄN</t>
        </is>
      </c>
      <c r="E171" t="inlineStr">
        <is>
          <t>HOFORS</t>
        </is>
      </c>
      <c r="G171" t="n">
        <v>3.4</v>
      </c>
      <c r="H171" t="n">
        <v>0</v>
      </c>
      <c r="I171" t="n">
        <v>0</v>
      </c>
      <c r="J171" t="n">
        <v>0</v>
      </c>
      <c r="K171" t="n">
        <v>0</v>
      </c>
      <c r="L171" t="n">
        <v>0</v>
      </c>
      <c r="M171" t="n">
        <v>0</v>
      </c>
      <c r="N171" t="n">
        <v>0</v>
      </c>
      <c r="O171" t="n">
        <v>0</v>
      </c>
      <c r="P171" t="n">
        <v>0</v>
      </c>
      <c r="Q171" t="n">
        <v>0</v>
      </c>
      <c r="R171" s="2" t="inlineStr"/>
    </row>
    <row r="172" ht="15" customHeight="1">
      <c r="A172" t="inlineStr">
        <is>
          <t>A 74254-2021</t>
        </is>
      </c>
      <c r="B172" s="1" t="n">
        <v>44558</v>
      </c>
      <c r="C172" s="1" t="n">
        <v>45877</v>
      </c>
      <c r="D172" t="inlineStr">
        <is>
          <t>GÄVLEBORGS LÄN</t>
        </is>
      </c>
      <c r="E172" t="inlineStr">
        <is>
          <t>HOFORS</t>
        </is>
      </c>
      <c r="G172" t="n">
        <v>8.1</v>
      </c>
      <c r="H172" t="n">
        <v>0</v>
      </c>
      <c r="I172" t="n">
        <v>0</v>
      </c>
      <c r="J172" t="n">
        <v>0</v>
      </c>
      <c r="K172" t="n">
        <v>0</v>
      </c>
      <c r="L172" t="n">
        <v>0</v>
      </c>
      <c r="M172" t="n">
        <v>0</v>
      </c>
      <c r="N172" t="n">
        <v>0</v>
      </c>
      <c r="O172" t="n">
        <v>0</v>
      </c>
      <c r="P172" t="n">
        <v>0</v>
      </c>
      <c r="Q172" t="n">
        <v>0</v>
      </c>
      <c r="R172" s="2" t="inlineStr"/>
    </row>
    <row r="173" ht="15" customHeight="1">
      <c r="A173" t="inlineStr">
        <is>
          <t>A 3052-2022</t>
        </is>
      </c>
      <c r="B173" s="1" t="n">
        <v>44582</v>
      </c>
      <c r="C173" s="1" t="n">
        <v>45877</v>
      </c>
      <c r="D173" t="inlineStr">
        <is>
          <t>GÄVLEBORGS LÄN</t>
        </is>
      </c>
      <c r="E173" t="inlineStr">
        <is>
          <t>HOFORS</t>
        </is>
      </c>
      <c r="G173" t="n">
        <v>0.7</v>
      </c>
      <c r="H173" t="n">
        <v>0</v>
      </c>
      <c r="I173" t="n">
        <v>0</v>
      </c>
      <c r="J173" t="n">
        <v>0</v>
      </c>
      <c r="K173" t="n">
        <v>0</v>
      </c>
      <c r="L173" t="n">
        <v>0</v>
      </c>
      <c r="M173" t="n">
        <v>0</v>
      </c>
      <c r="N173" t="n">
        <v>0</v>
      </c>
      <c r="O173" t="n">
        <v>0</v>
      </c>
      <c r="P173" t="n">
        <v>0</v>
      </c>
      <c r="Q173" t="n">
        <v>0</v>
      </c>
      <c r="R173" s="2" t="inlineStr"/>
    </row>
    <row r="174" ht="15" customHeight="1">
      <c r="A174" t="inlineStr">
        <is>
          <t>A 6560-2022</t>
        </is>
      </c>
      <c r="B174" s="1" t="n">
        <v>44601</v>
      </c>
      <c r="C174" s="1" t="n">
        <v>45877</v>
      </c>
      <c r="D174" t="inlineStr">
        <is>
          <t>GÄVLEBORGS LÄN</t>
        </is>
      </c>
      <c r="E174" t="inlineStr">
        <is>
          <t>HOFORS</t>
        </is>
      </c>
      <c r="G174" t="n">
        <v>12.2</v>
      </c>
      <c r="H174" t="n">
        <v>0</v>
      </c>
      <c r="I174" t="n">
        <v>0</v>
      </c>
      <c r="J174" t="n">
        <v>0</v>
      </c>
      <c r="K174" t="n">
        <v>0</v>
      </c>
      <c r="L174" t="n">
        <v>0</v>
      </c>
      <c r="M174" t="n">
        <v>0</v>
      </c>
      <c r="N174" t="n">
        <v>0</v>
      </c>
      <c r="O174" t="n">
        <v>0</v>
      </c>
      <c r="P174" t="n">
        <v>0</v>
      </c>
      <c r="Q174" t="n">
        <v>0</v>
      </c>
      <c r="R174" s="2" t="inlineStr"/>
    </row>
    <row r="175" ht="15" customHeight="1">
      <c r="A175" t="inlineStr">
        <is>
          <t>A 10184-2022</t>
        </is>
      </c>
      <c r="B175" s="1" t="n">
        <v>44622</v>
      </c>
      <c r="C175" s="1" t="n">
        <v>45877</v>
      </c>
      <c r="D175" t="inlineStr">
        <is>
          <t>GÄVLEBORGS LÄN</t>
        </is>
      </c>
      <c r="E175" t="inlineStr">
        <is>
          <t>HOFORS</t>
        </is>
      </c>
      <c r="G175" t="n">
        <v>3</v>
      </c>
      <c r="H175" t="n">
        <v>0</v>
      </c>
      <c r="I175" t="n">
        <v>0</v>
      </c>
      <c r="J175" t="n">
        <v>0</v>
      </c>
      <c r="K175" t="n">
        <v>0</v>
      </c>
      <c r="L175" t="n">
        <v>0</v>
      </c>
      <c r="M175" t="n">
        <v>0</v>
      </c>
      <c r="N175" t="n">
        <v>0</v>
      </c>
      <c r="O175" t="n">
        <v>0</v>
      </c>
      <c r="P175" t="n">
        <v>0</v>
      </c>
      <c r="Q175" t="n">
        <v>0</v>
      </c>
      <c r="R175" s="2" t="inlineStr"/>
    </row>
    <row r="176" ht="15" customHeight="1">
      <c r="A176" t="inlineStr">
        <is>
          <t>A 10587-2022</t>
        </is>
      </c>
      <c r="B176" s="1" t="n">
        <v>44624</v>
      </c>
      <c r="C176" s="1" t="n">
        <v>45877</v>
      </c>
      <c r="D176" t="inlineStr">
        <is>
          <t>GÄVLEBORGS LÄN</t>
        </is>
      </c>
      <c r="E176" t="inlineStr">
        <is>
          <t>HOFORS</t>
        </is>
      </c>
      <c r="G176" t="n">
        <v>5</v>
      </c>
      <c r="H176" t="n">
        <v>0</v>
      </c>
      <c r="I176" t="n">
        <v>0</v>
      </c>
      <c r="J176" t="n">
        <v>0</v>
      </c>
      <c r="K176" t="n">
        <v>0</v>
      </c>
      <c r="L176" t="n">
        <v>0</v>
      </c>
      <c r="M176" t="n">
        <v>0</v>
      </c>
      <c r="N176" t="n">
        <v>0</v>
      </c>
      <c r="O176" t="n">
        <v>0</v>
      </c>
      <c r="P176" t="n">
        <v>0</v>
      </c>
      <c r="Q176" t="n">
        <v>0</v>
      </c>
      <c r="R176" s="2" t="inlineStr"/>
    </row>
    <row r="177" ht="15" customHeight="1">
      <c r="A177" t="inlineStr">
        <is>
          <t>A 10602-2022</t>
        </is>
      </c>
      <c r="B177" s="1" t="n">
        <v>44624</v>
      </c>
      <c r="C177" s="1" t="n">
        <v>45877</v>
      </c>
      <c r="D177" t="inlineStr">
        <is>
          <t>GÄVLEBORGS LÄN</t>
        </is>
      </c>
      <c r="E177" t="inlineStr">
        <is>
          <t>HOFORS</t>
        </is>
      </c>
      <c r="G177" t="n">
        <v>7</v>
      </c>
      <c r="H177" t="n">
        <v>0</v>
      </c>
      <c r="I177" t="n">
        <v>0</v>
      </c>
      <c r="J177" t="n">
        <v>0</v>
      </c>
      <c r="K177" t="n">
        <v>0</v>
      </c>
      <c r="L177" t="n">
        <v>0</v>
      </c>
      <c r="M177" t="n">
        <v>0</v>
      </c>
      <c r="N177" t="n">
        <v>0</v>
      </c>
      <c r="O177" t="n">
        <v>0</v>
      </c>
      <c r="P177" t="n">
        <v>0</v>
      </c>
      <c r="Q177" t="n">
        <v>0</v>
      </c>
      <c r="R177" s="2" t="inlineStr"/>
    </row>
    <row r="178" ht="15" customHeight="1">
      <c r="A178" t="inlineStr">
        <is>
          <t>A 13807-2022</t>
        </is>
      </c>
      <c r="B178" s="1" t="n">
        <v>44649</v>
      </c>
      <c r="C178" s="1" t="n">
        <v>45877</v>
      </c>
      <c r="D178" t="inlineStr">
        <is>
          <t>GÄVLEBORGS LÄN</t>
        </is>
      </c>
      <c r="E178" t="inlineStr">
        <is>
          <t>HOFORS</t>
        </is>
      </c>
      <c r="G178" t="n">
        <v>1.1</v>
      </c>
      <c r="H178" t="n">
        <v>0</v>
      </c>
      <c r="I178" t="n">
        <v>0</v>
      </c>
      <c r="J178" t="n">
        <v>0</v>
      </c>
      <c r="K178" t="n">
        <v>0</v>
      </c>
      <c r="L178" t="n">
        <v>0</v>
      </c>
      <c r="M178" t="n">
        <v>0</v>
      </c>
      <c r="N178" t="n">
        <v>0</v>
      </c>
      <c r="O178" t="n">
        <v>0</v>
      </c>
      <c r="P178" t="n">
        <v>0</v>
      </c>
      <c r="Q178" t="n">
        <v>0</v>
      </c>
      <c r="R178" s="2" t="inlineStr"/>
    </row>
    <row r="179" ht="15" customHeight="1">
      <c r="A179" t="inlineStr">
        <is>
          <t>A 16371-2022</t>
        </is>
      </c>
      <c r="B179" s="1" t="n">
        <v>44671</v>
      </c>
      <c r="C179" s="1" t="n">
        <v>45877</v>
      </c>
      <c r="D179" t="inlineStr">
        <is>
          <t>GÄVLEBORGS LÄN</t>
        </is>
      </c>
      <c r="E179" t="inlineStr">
        <is>
          <t>HOFORS</t>
        </is>
      </c>
      <c r="G179" t="n">
        <v>0.8</v>
      </c>
      <c r="H179" t="n">
        <v>0</v>
      </c>
      <c r="I179" t="n">
        <v>0</v>
      </c>
      <c r="J179" t="n">
        <v>0</v>
      </c>
      <c r="K179" t="n">
        <v>0</v>
      </c>
      <c r="L179" t="n">
        <v>0</v>
      </c>
      <c r="M179" t="n">
        <v>0</v>
      </c>
      <c r="N179" t="n">
        <v>0</v>
      </c>
      <c r="O179" t="n">
        <v>0</v>
      </c>
      <c r="P179" t="n">
        <v>0</v>
      </c>
      <c r="Q179" t="n">
        <v>0</v>
      </c>
      <c r="R179" s="2" t="inlineStr"/>
    </row>
    <row r="180" ht="15" customHeight="1">
      <c r="A180" t="inlineStr">
        <is>
          <t>A 17762-2022</t>
        </is>
      </c>
      <c r="B180" s="1" t="n">
        <v>44680</v>
      </c>
      <c r="C180" s="1" t="n">
        <v>45877</v>
      </c>
      <c r="D180" t="inlineStr">
        <is>
          <t>GÄVLEBORGS LÄN</t>
        </is>
      </c>
      <c r="E180" t="inlineStr">
        <is>
          <t>HOFORS</t>
        </is>
      </c>
      <c r="G180" t="n">
        <v>1</v>
      </c>
      <c r="H180" t="n">
        <v>0</v>
      </c>
      <c r="I180" t="n">
        <v>0</v>
      </c>
      <c r="J180" t="n">
        <v>0</v>
      </c>
      <c r="K180" t="n">
        <v>0</v>
      </c>
      <c r="L180" t="n">
        <v>0</v>
      </c>
      <c r="M180" t="n">
        <v>0</v>
      </c>
      <c r="N180" t="n">
        <v>0</v>
      </c>
      <c r="O180" t="n">
        <v>0</v>
      </c>
      <c r="P180" t="n">
        <v>0</v>
      </c>
      <c r="Q180" t="n">
        <v>0</v>
      </c>
      <c r="R180" s="2" t="inlineStr"/>
    </row>
    <row r="181" ht="15" customHeight="1">
      <c r="A181" t="inlineStr">
        <is>
          <t>A 19135-2022</t>
        </is>
      </c>
      <c r="B181" s="1" t="n">
        <v>44691</v>
      </c>
      <c r="C181" s="1" t="n">
        <v>45877</v>
      </c>
      <c r="D181" t="inlineStr">
        <is>
          <t>GÄVLEBORGS LÄN</t>
        </is>
      </c>
      <c r="E181" t="inlineStr">
        <is>
          <t>HOFORS</t>
        </is>
      </c>
      <c r="G181" t="n">
        <v>1.5</v>
      </c>
      <c r="H181" t="n">
        <v>0</v>
      </c>
      <c r="I181" t="n">
        <v>0</v>
      </c>
      <c r="J181" t="n">
        <v>0</v>
      </c>
      <c r="K181" t="n">
        <v>0</v>
      </c>
      <c r="L181" t="n">
        <v>0</v>
      </c>
      <c r="M181" t="n">
        <v>0</v>
      </c>
      <c r="N181" t="n">
        <v>0</v>
      </c>
      <c r="O181" t="n">
        <v>0</v>
      </c>
      <c r="P181" t="n">
        <v>0</v>
      </c>
      <c r="Q181" t="n">
        <v>0</v>
      </c>
      <c r="R181" s="2" t="inlineStr"/>
    </row>
    <row r="182" ht="15" customHeight="1">
      <c r="A182" t="inlineStr">
        <is>
          <t>A 19292-2022</t>
        </is>
      </c>
      <c r="B182" s="1" t="n">
        <v>44692</v>
      </c>
      <c r="C182" s="1" t="n">
        <v>45877</v>
      </c>
      <c r="D182" t="inlineStr">
        <is>
          <t>GÄVLEBORGS LÄN</t>
        </is>
      </c>
      <c r="E182" t="inlineStr">
        <is>
          <t>HOFORS</t>
        </is>
      </c>
      <c r="G182" t="n">
        <v>0.9</v>
      </c>
      <c r="H182" t="n">
        <v>0</v>
      </c>
      <c r="I182" t="n">
        <v>0</v>
      </c>
      <c r="J182" t="n">
        <v>0</v>
      </c>
      <c r="K182" t="n">
        <v>0</v>
      </c>
      <c r="L182" t="n">
        <v>0</v>
      </c>
      <c r="M182" t="n">
        <v>0</v>
      </c>
      <c r="N182" t="n">
        <v>0</v>
      </c>
      <c r="O182" t="n">
        <v>0</v>
      </c>
      <c r="P182" t="n">
        <v>0</v>
      </c>
      <c r="Q182" t="n">
        <v>0</v>
      </c>
      <c r="R182" s="2" t="inlineStr"/>
    </row>
    <row r="183" ht="15" customHeight="1">
      <c r="A183" t="inlineStr">
        <is>
          <t>A 28870-2022</t>
        </is>
      </c>
      <c r="B183" s="1" t="n">
        <v>44749</v>
      </c>
      <c r="C183" s="1" t="n">
        <v>45877</v>
      </c>
      <c r="D183" t="inlineStr">
        <is>
          <t>GÄVLEBORGS LÄN</t>
        </is>
      </c>
      <c r="E183" t="inlineStr">
        <is>
          <t>HOFORS</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31205-2022</t>
        </is>
      </c>
      <c r="B184" s="1" t="n">
        <v>44770</v>
      </c>
      <c r="C184" s="1" t="n">
        <v>45877</v>
      </c>
      <c r="D184" t="inlineStr">
        <is>
          <t>GÄVLEBORGS LÄN</t>
        </is>
      </c>
      <c r="E184" t="inlineStr">
        <is>
          <t>HOFORS</t>
        </is>
      </c>
      <c r="F184" t="inlineStr">
        <is>
          <t>Sveaskog</t>
        </is>
      </c>
      <c r="G184" t="n">
        <v>3.1</v>
      </c>
      <c r="H184" t="n">
        <v>0</v>
      </c>
      <c r="I184" t="n">
        <v>0</v>
      </c>
      <c r="J184" t="n">
        <v>0</v>
      </c>
      <c r="K184" t="n">
        <v>0</v>
      </c>
      <c r="L184" t="n">
        <v>0</v>
      </c>
      <c r="M184" t="n">
        <v>0</v>
      </c>
      <c r="N184" t="n">
        <v>0</v>
      </c>
      <c r="O184" t="n">
        <v>0</v>
      </c>
      <c r="P184" t="n">
        <v>0</v>
      </c>
      <c r="Q184" t="n">
        <v>0</v>
      </c>
      <c r="R184" s="2" t="inlineStr"/>
    </row>
    <row r="185" ht="15" customHeight="1">
      <c r="A185" t="inlineStr">
        <is>
          <t>A 32330-2022</t>
        </is>
      </c>
      <c r="B185" s="1" t="n">
        <v>44781</v>
      </c>
      <c r="C185" s="1" t="n">
        <v>45877</v>
      </c>
      <c r="D185" t="inlineStr">
        <is>
          <t>GÄVLEBORGS LÄN</t>
        </is>
      </c>
      <c r="E185" t="inlineStr">
        <is>
          <t>HOFORS</t>
        </is>
      </c>
      <c r="F185" t="inlineStr">
        <is>
          <t>Sveaskog</t>
        </is>
      </c>
      <c r="G185" t="n">
        <v>6.9</v>
      </c>
      <c r="H185" t="n">
        <v>0</v>
      </c>
      <c r="I185" t="n">
        <v>0</v>
      </c>
      <c r="J185" t="n">
        <v>0</v>
      </c>
      <c r="K185" t="n">
        <v>0</v>
      </c>
      <c r="L185" t="n">
        <v>0</v>
      </c>
      <c r="M185" t="n">
        <v>0</v>
      </c>
      <c r="N185" t="n">
        <v>0</v>
      </c>
      <c r="O185" t="n">
        <v>0</v>
      </c>
      <c r="P185" t="n">
        <v>0</v>
      </c>
      <c r="Q185" t="n">
        <v>0</v>
      </c>
      <c r="R185" s="2" t="inlineStr"/>
    </row>
    <row r="186" ht="15" customHeight="1">
      <c r="A186" t="inlineStr">
        <is>
          <t>A 32327-2022</t>
        </is>
      </c>
      <c r="B186" s="1" t="n">
        <v>44781</v>
      </c>
      <c r="C186" s="1" t="n">
        <v>45877</v>
      </c>
      <c r="D186" t="inlineStr">
        <is>
          <t>GÄVLEBORGS LÄN</t>
        </is>
      </c>
      <c r="E186" t="inlineStr">
        <is>
          <t>HOFORS</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33672-2022</t>
        </is>
      </c>
      <c r="B187" s="1" t="n">
        <v>44789</v>
      </c>
      <c r="C187" s="1" t="n">
        <v>45877</v>
      </c>
      <c r="D187" t="inlineStr">
        <is>
          <t>GÄVLEBORGS LÄN</t>
        </is>
      </c>
      <c r="E187" t="inlineStr">
        <is>
          <t>HOFORS</t>
        </is>
      </c>
      <c r="F187" t="inlineStr">
        <is>
          <t>Sveaskog</t>
        </is>
      </c>
      <c r="G187" t="n">
        <v>14.4</v>
      </c>
      <c r="H187" t="n">
        <v>0</v>
      </c>
      <c r="I187" t="n">
        <v>0</v>
      </c>
      <c r="J187" t="n">
        <v>0</v>
      </c>
      <c r="K187" t="n">
        <v>0</v>
      </c>
      <c r="L187" t="n">
        <v>0</v>
      </c>
      <c r="M187" t="n">
        <v>0</v>
      </c>
      <c r="N187" t="n">
        <v>0</v>
      </c>
      <c r="O187" t="n">
        <v>0</v>
      </c>
      <c r="P187" t="n">
        <v>0</v>
      </c>
      <c r="Q187" t="n">
        <v>0</v>
      </c>
      <c r="R187" s="2" t="inlineStr"/>
    </row>
    <row r="188" ht="15" customHeight="1">
      <c r="A188" t="inlineStr">
        <is>
          <t>A 36882-2022</t>
        </is>
      </c>
      <c r="B188" s="1" t="n">
        <v>44805</v>
      </c>
      <c r="C188" s="1" t="n">
        <v>45877</v>
      </c>
      <c r="D188" t="inlineStr">
        <is>
          <t>GÄVLEBORGS LÄN</t>
        </is>
      </c>
      <c r="E188" t="inlineStr">
        <is>
          <t>HOFORS</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37680-2022</t>
        </is>
      </c>
      <c r="B189" s="1" t="n">
        <v>44810</v>
      </c>
      <c r="C189" s="1" t="n">
        <v>45877</v>
      </c>
      <c r="D189" t="inlineStr">
        <is>
          <t>GÄVLEBORGS LÄN</t>
        </is>
      </c>
      <c r="E189" t="inlineStr">
        <is>
          <t>HOFORS</t>
        </is>
      </c>
      <c r="G189" t="n">
        <v>6.6</v>
      </c>
      <c r="H189" t="n">
        <v>0</v>
      </c>
      <c r="I189" t="n">
        <v>0</v>
      </c>
      <c r="J189" t="n">
        <v>0</v>
      </c>
      <c r="K189" t="n">
        <v>0</v>
      </c>
      <c r="L189" t="n">
        <v>0</v>
      </c>
      <c r="M189" t="n">
        <v>0</v>
      </c>
      <c r="N189" t="n">
        <v>0</v>
      </c>
      <c r="O189" t="n">
        <v>0</v>
      </c>
      <c r="P189" t="n">
        <v>0</v>
      </c>
      <c r="Q189" t="n">
        <v>0</v>
      </c>
      <c r="R189" s="2" t="inlineStr"/>
    </row>
    <row r="190" ht="15" customHeight="1">
      <c r="A190" t="inlineStr">
        <is>
          <t>A 37743-2022</t>
        </is>
      </c>
      <c r="B190" s="1" t="n">
        <v>44810</v>
      </c>
      <c r="C190" s="1" t="n">
        <v>45877</v>
      </c>
      <c r="D190" t="inlineStr">
        <is>
          <t>GÄVLEBORGS LÄN</t>
        </is>
      </c>
      <c r="E190" t="inlineStr">
        <is>
          <t>HOFORS</t>
        </is>
      </c>
      <c r="G190" t="n">
        <v>1.6</v>
      </c>
      <c r="H190" t="n">
        <v>0</v>
      </c>
      <c r="I190" t="n">
        <v>0</v>
      </c>
      <c r="J190" t="n">
        <v>0</v>
      </c>
      <c r="K190" t="n">
        <v>0</v>
      </c>
      <c r="L190" t="n">
        <v>0</v>
      </c>
      <c r="M190" t="n">
        <v>0</v>
      </c>
      <c r="N190" t="n">
        <v>0</v>
      </c>
      <c r="O190" t="n">
        <v>0</v>
      </c>
      <c r="P190" t="n">
        <v>0</v>
      </c>
      <c r="Q190" t="n">
        <v>0</v>
      </c>
      <c r="R190" s="2" t="inlineStr"/>
    </row>
    <row r="191" ht="15" customHeight="1">
      <c r="A191" t="inlineStr">
        <is>
          <t>A 37767-2022</t>
        </is>
      </c>
      <c r="B191" s="1" t="n">
        <v>44810</v>
      </c>
      <c r="C191" s="1" t="n">
        <v>45877</v>
      </c>
      <c r="D191" t="inlineStr">
        <is>
          <t>GÄVLEBORGS LÄN</t>
        </is>
      </c>
      <c r="E191" t="inlineStr">
        <is>
          <t>HOFORS</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37744-2022</t>
        </is>
      </c>
      <c r="B192" s="1" t="n">
        <v>44810</v>
      </c>
      <c r="C192" s="1" t="n">
        <v>45877</v>
      </c>
      <c r="D192" t="inlineStr">
        <is>
          <t>GÄVLEBORGS LÄN</t>
        </is>
      </c>
      <c r="E192" t="inlineStr">
        <is>
          <t>HOFORS</t>
        </is>
      </c>
      <c r="G192" t="n">
        <v>1.1</v>
      </c>
      <c r="H192" t="n">
        <v>0</v>
      </c>
      <c r="I192" t="n">
        <v>0</v>
      </c>
      <c r="J192" t="n">
        <v>0</v>
      </c>
      <c r="K192" t="n">
        <v>0</v>
      </c>
      <c r="L192" t="n">
        <v>0</v>
      </c>
      <c r="M192" t="n">
        <v>0</v>
      </c>
      <c r="N192" t="n">
        <v>0</v>
      </c>
      <c r="O192" t="n">
        <v>0</v>
      </c>
      <c r="P192" t="n">
        <v>0</v>
      </c>
      <c r="Q192" t="n">
        <v>0</v>
      </c>
      <c r="R192" s="2" t="inlineStr"/>
    </row>
    <row r="193" ht="15" customHeight="1">
      <c r="A193" t="inlineStr">
        <is>
          <t>A 38251-2022</t>
        </is>
      </c>
      <c r="B193" s="1" t="n">
        <v>44812</v>
      </c>
      <c r="C193" s="1" t="n">
        <v>45877</v>
      </c>
      <c r="D193" t="inlineStr">
        <is>
          <t>GÄVLEBORGS LÄN</t>
        </is>
      </c>
      <c r="E193" t="inlineStr">
        <is>
          <t>HOFORS</t>
        </is>
      </c>
      <c r="G193" t="n">
        <v>3.5</v>
      </c>
      <c r="H193" t="n">
        <v>0</v>
      </c>
      <c r="I193" t="n">
        <v>0</v>
      </c>
      <c r="J193" t="n">
        <v>0</v>
      </c>
      <c r="K193" t="n">
        <v>0</v>
      </c>
      <c r="L193" t="n">
        <v>0</v>
      </c>
      <c r="M193" t="n">
        <v>0</v>
      </c>
      <c r="N193" t="n">
        <v>0</v>
      </c>
      <c r="O193" t="n">
        <v>0</v>
      </c>
      <c r="P193" t="n">
        <v>0</v>
      </c>
      <c r="Q193" t="n">
        <v>0</v>
      </c>
      <c r="R193" s="2" t="inlineStr"/>
    </row>
    <row r="194" ht="15" customHeight="1">
      <c r="A194" t="inlineStr">
        <is>
          <t>A 38815-2022</t>
        </is>
      </c>
      <c r="B194" s="1" t="n">
        <v>44816</v>
      </c>
      <c r="C194" s="1" t="n">
        <v>45877</v>
      </c>
      <c r="D194" t="inlineStr">
        <is>
          <t>GÄVLEBORGS LÄN</t>
        </is>
      </c>
      <c r="E194" t="inlineStr">
        <is>
          <t>HOFORS</t>
        </is>
      </c>
      <c r="G194" t="n">
        <v>5.5</v>
      </c>
      <c r="H194" t="n">
        <v>0</v>
      </c>
      <c r="I194" t="n">
        <v>0</v>
      </c>
      <c r="J194" t="n">
        <v>0</v>
      </c>
      <c r="K194" t="n">
        <v>0</v>
      </c>
      <c r="L194" t="n">
        <v>0</v>
      </c>
      <c r="M194" t="n">
        <v>0</v>
      </c>
      <c r="N194" t="n">
        <v>0</v>
      </c>
      <c r="O194" t="n">
        <v>0</v>
      </c>
      <c r="P194" t="n">
        <v>0</v>
      </c>
      <c r="Q194" t="n">
        <v>0</v>
      </c>
      <c r="R194" s="2" t="inlineStr"/>
    </row>
    <row r="195" ht="15" customHeight="1">
      <c r="A195" t="inlineStr">
        <is>
          <t>A 40515-2022</t>
        </is>
      </c>
      <c r="B195" s="1" t="n">
        <v>44823</v>
      </c>
      <c r="C195" s="1" t="n">
        <v>45877</v>
      </c>
      <c r="D195" t="inlineStr">
        <is>
          <t>GÄVLEBORGS LÄN</t>
        </is>
      </c>
      <c r="E195" t="inlineStr">
        <is>
          <t>HOFORS</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40517-2022</t>
        </is>
      </c>
      <c r="B196" s="1" t="n">
        <v>44823</v>
      </c>
      <c r="C196" s="1" t="n">
        <v>45877</v>
      </c>
      <c r="D196" t="inlineStr">
        <is>
          <t>GÄVLEBORGS LÄN</t>
        </is>
      </c>
      <c r="E196" t="inlineStr">
        <is>
          <t>HOFORS</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43610-2022</t>
        </is>
      </c>
      <c r="B197" s="1" t="n">
        <v>44837</v>
      </c>
      <c r="C197" s="1" t="n">
        <v>45877</v>
      </c>
      <c r="D197" t="inlineStr">
        <is>
          <t>GÄVLEBORGS LÄN</t>
        </is>
      </c>
      <c r="E197" t="inlineStr">
        <is>
          <t>HOFORS</t>
        </is>
      </c>
      <c r="F197" t="inlineStr">
        <is>
          <t>Sveaskog</t>
        </is>
      </c>
      <c r="G197" t="n">
        <v>17.6</v>
      </c>
      <c r="H197" t="n">
        <v>0</v>
      </c>
      <c r="I197" t="n">
        <v>0</v>
      </c>
      <c r="J197" t="n">
        <v>0</v>
      </c>
      <c r="K197" t="n">
        <v>0</v>
      </c>
      <c r="L197" t="n">
        <v>0</v>
      </c>
      <c r="M197" t="n">
        <v>0</v>
      </c>
      <c r="N197" t="n">
        <v>0</v>
      </c>
      <c r="O197" t="n">
        <v>0</v>
      </c>
      <c r="P197" t="n">
        <v>0</v>
      </c>
      <c r="Q197" t="n">
        <v>0</v>
      </c>
      <c r="R197" s="2" t="inlineStr"/>
    </row>
    <row r="198" ht="15" customHeight="1">
      <c r="A198" t="inlineStr">
        <is>
          <t>A 43631-2022</t>
        </is>
      </c>
      <c r="B198" s="1" t="n">
        <v>44837</v>
      </c>
      <c r="C198" s="1" t="n">
        <v>45877</v>
      </c>
      <c r="D198" t="inlineStr">
        <is>
          <t>GÄVLEBORGS LÄN</t>
        </is>
      </c>
      <c r="E198" t="inlineStr">
        <is>
          <t>HOFORS</t>
        </is>
      </c>
      <c r="G198" t="n">
        <v>1.6</v>
      </c>
      <c r="H198" t="n">
        <v>0</v>
      </c>
      <c r="I198" t="n">
        <v>0</v>
      </c>
      <c r="J198" t="n">
        <v>0</v>
      </c>
      <c r="K198" t="n">
        <v>0</v>
      </c>
      <c r="L198" t="n">
        <v>0</v>
      </c>
      <c r="M198" t="n">
        <v>0</v>
      </c>
      <c r="N198" t="n">
        <v>0</v>
      </c>
      <c r="O198" t="n">
        <v>0</v>
      </c>
      <c r="P198" t="n">
        <v>0</v>
      </c>
      <c r="Q198" t="n">
        <v>0</v>
      </c>
      <c r="R198" s="2" t="inlineStr"/>
    </row>
    <row r="199" ht="15" customHeight="1">
      <c r="A199" t="inlineStr">
        <is>
          <t>A 43603-2022</t>
        </is>
      </c>
      <c r="B199" s="1" t="n">
        <v>44837</v>
      </c>
      <c r="C199" s="1" t="n">
        <v>45877</v>
      </c>
      <c r="D199" t="inlineStr">
        <is>
          <t>GÄVLEBORGS LÄN</t>
        </is>
      </c>
      <c r="E199" t="inlineStr">
        <is>
          <t>HOFORS</t>
        </is>
      </c>
      <c r="F199" t="inlineStr">
        <is>
          <t>Sveaskog</t>
        </is>
      </c>
      <c r="G199" t="n">
        <v>11.9</v>
      </c>
      <c r="H199" t="n">
        <v>0</v>
      </c>
      <c r="I199" t="n">
        <v>0</v>
      </c>
      <c r="J199" t="n">
        <v>0</v>
      </c>
      <c r="K199" t="n">
        <v>0</v>
      </c>
      <c r="L199" t="n">
        <v>0</v>
      </c>
      <c r="M199" t="n">
        <v>0</v>
      </c>
      <c r="N199" t="n">
        <v>0</v>
      </c>
      <c r="O199" t="n">
        <v>0</v>
      </c>
      <c r="P199" t="n">
        <v>0</v>
      </c>
      <c r="Q199" t="n">
        <v>0</v>
      </c>
      <c r="R199" s="2" t="inlineStr"/>
    </row>
    <row r="200" ht="15" customHeight="1">
      <c r="A200" t="inlineStr">
        <is>
          <t>A 51205-2022</t>
        </is>
      </c>
      <c r="B200" s="1" t="n">
        <v>44868</v>
      </c>
      <c r="C200" s="1" t="n">
        <v>45877</v>
      </c>
      <c r="D200" t="inlineStr">
        <is>
          <t>GÄVLEBORGS LÄN</t>
        </is>
      </c>
      <c r="E200" t="inlineStr">
        <is>
          <t>HOFORS</t>
        </is>
      </c>
      <c r="F200" t="inlineStr">
        <is>
          <t>Sveaskog</t>
        </is>
      </c>
      <c r="G200" t="n">
        <v>10</v>
      </c>
      <c r="H200" t="n">
        <v>0</v>
      </c>
      <c r="I200" t="n">
        <v>0</v>
      </c>
      <c r="J200" t="n">
        <v>0</v>
      </c>
      <c r="K200" t="n">
        <v>0</v>
      </c>
      <c r="L200" t="n">
        <v>0</v>
      </c>
      <c r="M200" t="n">
        <v>0</v>
      </c>
      <c r="N200" t="n">
        <v>0</v>
      </c>
      <c r="O200" t="n">
        <v>0</v>
      </c>
      <c r="P200" t="n">
        <v>0</v>
      </c>
      <c r="Q200" t="n">
        <v>0</v>
      </c>
      <c r="R200" s="2" t="inlineStr"/>
    </row>
    <row r="201" ht="15" customHeight="1">
      <c r="A201" t="inlineStr">
        <is>
          <t>A 51202-2022</t>
        </is>
      </c>
      <c r="B201" s="1" t="n">
        <v>44868</v>
      </c>
      <c r="C201" s="1" t="n">
        <v>45877</v>
      </c>
      <c r="D201" t="inlineStr">
        <is>
          <t>GÄVLEBORGS LÄN</t>
        </is>
      </c>
      <c r="E201" t="inlineStr">
        <is>
          <t>HOFORS</t>
        </is>
      </c>
      <c r="F201" t="inlineStr">
        <is>
          <t>Sveaskog</t>
        </is>
      </c>
      <c r="G201" t="n">
        <v>11.3</v>
      </c>
      <c r="H201" t="n">
        <v>0</v>
      </c>
      <c r="I201" t="n">
        <v>0</v>
      </c>
      <c r="J201" t="n">
        <v>0</v>
      </c>
      <c r="K201" t="n">
        <v>0</v>
      </c>
      <c r="L201" t="n">
        <v>0</v>
      </c>
      <c r="M201" t="n">
        <v>0</v>
      </c>
      <c r="N201" t="n">
        <v>0</v>
      </c>
      <c r="O201" t="n">
        <v>0</v>
      </c>
      <c r="P201" t="n">
        <v>0</v>
      </c>
      <c r="Q201" t="n">
        <v>0</v>
      </c>
      <c r="R201" s="2" t="inlineStr"/>
    </row>
    <row r="202" ht="15" customHeight="1">
      <c r="A202" t="inlineStr">
        <is>
          <t>A 51277-2022</t>
        </is>
      </c>
      <c r="B202" s="1" t="n">
        <v>44868</v>
      </c>
      <c r="C202" s="1" t="n">
        <v>45877</v>
      </c>
      <c r="D202" t="inlineStr">
        <is>
          <t>GÄVLEBORGS LÄN</t>
        </is>
      </c>
      <c r="E202" t="inlineStr">
        <is>
          <t>HOFORS</t>
        </is>
      </c>
      <c r="G202" t="n">
        <v>1.2</v>
      </c>
      <c r="H202" t="n">
        <v>0</v>
      </c>
      <c r="I202" t="n">
        <v>0</v>
      </c>
      <c r="J202" t="n">
        <v>0</v>
      </c>
      <c r="K202" t="n">
        <v>0</v>
      </c>
      <c r="L202" t="n">
        <v>0</v>
      </c>
      <c r="M202" t="n">
        <v>0</v>
      </c>
      <c r="N202" t="n">
        <v>0</v>
      </c>
      <c r="O202" t="n">
        <v>0</v>
      </c>
      <c r="P202" t="n">
        <v>0</v>
      </c>
      <c r="Q202" t="n">
        <v>0</v>
      </c>
      <c r="R202" s="2" t="inlineStr"/>
    </row>
    <row r="203" ht="15" customHeight="1">
      <c r="A203" t="inlineStr">
        <is>
          <t>A 51276-2022</t>
        </is>
      </c>
      <c r="B203" s="1" t="n">
        <v>44868</v>
      </c>
      <c r="C203" s="1" t="n">
        <v>45877</v>
      </c>
      <c r="D203" t="inlineStr">
        <is>
          <t>GÄVLEBORGS LÄN</t>
        </is>
      </c>
      <c r="E203" t="inlineStr">
        <is>
          <t>HOFORS</t>
        </is>
      </c>
      <c r="G203" t="n">
        <v>1.5</v>
      </c>
      <c r="H203" t="n">
        <v>0</v>
      </c>
      <c r="I203" t="n">
        <v>0</v>
      </c>
      <c r="J203" t="n">
        <v>0</v>
      </c>
      <c r="K203" t="n">
        <v>0</v>
      </c>
      <c r="L203" t="n">
        <v>0</v>
      </c>
      <c r="M203" t="n">
        <v>0</v>
      </c>
      <c r="N203" t="n">
        <v>0</v>
      </c>
      <c r="O203" t="n">
        <v>0</v>
      </c>
      <c r="P203" t="n">
        <v>0</v>
      </c>
      <c r="Q203" t="n">
        <v>0</v>
      </c>
      <c r="R203" s="2" t="inlineStr"/>
    </row>
    <row r="204" ht="15" customHeight="1">
      <c r="A204" t="inlineStr">
        <is>
          <t>A 52320-2022</t>
        </is>
      </c>
      <c r="B204" s="1" t="n">
        <v>44873</v>
      </c>
      <c r="C204" s="1" t="n">
        <v>45877</v>
      </c>
      <c r="D204" t="inlineStr">
        <is>
          <t>GÄVLEBORGS LÄN</t>
        </is>
      </c>
      <c r="E204" t="inlineStr">
        <is>
          <t>HOFORS</t>
        </is>
      </c>
      <c r="G204" t="n">
        <v>6.1</v>
      </c>
      <c r="H204" t="n">
        <v>0</v>
      </c>
      <c r="I204" t="n">
        <v>0</v>
      </c>
      <c r="J204" t="n">
        <v>0</v>
      </c>
      <c r="K204" t="n">
        <v>0</v>
      </c>
      <c r="L204" t="n">
        <v>0</v>
      </c>
      <c r="M204" t="n">
        <v>0</v>
      </c>
      <c r="N204" t="n">
        <v>0</v>
      </c>
      <c r="O204" t="n">
        <v>0</v>
      </c>
      <c r="P204" t="n">
        <v>0</v>
      </c>
      <c r="Q204" t="n">
        <v>0</v>
      </c>
      <c r="R204" s="2" t="inlineStr"/>
    </row>
    <row r="205" ht="15" customHeight="1">
      <c r="A205" t="inlineStr">
        <is>
          <t>A 54192-2022</t>
        </is>
      </c>
      <c r="B205" s="1" t="n">
        <v>44881</v>
      </c>
      <c r="C205" s="1" t="n">
        <v>45877</v>
      </c>
      <c r="D205" t="inlineStr">
        <is>
          <t>GÄVLEBORGS LÄN</t>
        </is>
      </c>
      <c r="E205" t="inlineStr">
        <is>
          <t>HOFORS</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54191-2022</t>
        </is>
      </c>
      <c r="B206" s="1" t="n">
        <v>44881</v>
      </c>
      <c r="C206" s="1" t="n">
        <v>45877</v>
      </c>
      <c r="D206" t="inlineStr">
        <is>
          <t>GÄVLEBORGS LÄN</t>
        </is>
      </c>
      <c r="E206" t="inlineStr">
        <is>
          <t>HOFORS</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54616-2022</t>
        </is>
      </c>
      <c r="B207" s="1" t="n">
        <v>44883</v>
      </c>
      <c r="C207" s="1" t="n">
        <v>45877</v>
      </c>
      <c r="D207" t="inlineStr">
        <is>
          <t>GÄVLEBORGS LÄN</t>
        </is>
      </c>
      <c r="E207" t="inlineStr">
        <is>
          <t>HOFORS</t>
        </is>
      </c>
      <c r="F207" t="inlineStr">
        <is>
          <t>Kyrkan</t>
        </is>
      </c>
      <c r="G207" t="n">
        <v>4.8</v>
      </c>
      <c r="H207" t="n">
        <v>0</v>
      </c>
      <c r="I207" t="n">
        <v>0</v>
      </c>
      <c r="J207" t="n">
        <v>0</v>
      </c>
      <c r="K207" t="n">
        <v>0</v>
      </c>
      <c r="L207" t="n">
        <v>0</v>
      </c>
      <c r="M207" t="n">
        <v>0</v>
      </c>
      <c r="N207" t="n">
        <v>0</v>
      </c>
      <c r="O207" t="n">
        <v>0</v>
      </c>
      <c r="P207" t="n">
        <v>0</v>
      </c>
      <c r="Q207" t="n">
        <v>0</v>
      </c>
      <c r="R207" s="2" t="inlineStr"/>
    </row>
    <row r="208" ht="15" customHeight="1">
      <c r="A208" t="inlineStr">
        <is>
          <t>A 57971-2022</t>
        </is>
      </c>
      <c r="B208" s="1" t="n">
        <v>44900</v>
      </c>
      <c r="C208" s="1" t="n">
        <v>45877</v>
      </c>
      <c r="D208" t="inlineStr">
        <is>
          <t>GÄVLEBORGS LÄN</t>
        </is>
      </c>
      <c r="E208" t="inlineStr">
        <is>
          <t>HOFORS</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59567-2022</t>
        </is>
      </c>
      <c r="B209" s="1" t="n">
        <v>44907</v>
      </c>
      <c r="C209" s="1" t="n">
        <v>45877</v>
      </c>
      <c r="D209" t="inlineStr">
        <is>
          <t>GÄVLEBORGS LÄN</t>
        </is>
      </c>
      <c r="E209" t="inlineStr">
        <is>
          <t>HOFORS</t>
        </is>
      </c>
      <c r="G209" t="n">
        <v>1.4</v>
      </c>
      <c r="H209" t="n">
        <v>0</v>
      </c>
      <c r="I209" t="n">
        <v>0</v>
      </c>
      <c r="J209" t="n">
        <v>0</v>
      </c>
      <c r="K209" t="n">
        <v>0</v>
      </c>
      <c r="L209" t="n">
        <v>0</v>
      </c>
      <c r="M209" t="n">
        <v>0</v>
      </c>
      <c r="N209" t="n">
        <v>0</v>
      </c>
      <c r="O209" t="n">
        <v>0</v>
      </c>
      <c r="P209" t="n">
        <v>0</v>
      </c>
      <c r="Q209" t="n">
        <v>0</v>
      </c>
      <c r="R209" s="2" t="inlineStr"/>
    </row>
    <row r="210" ht="15" customHeight="1">
      <c r="A210" t="inlineStr">
        <is>
          <t>A 4451-2023</t>
        </is>
      </c>
      <c r="B210" s="1" t="n">
        <v>44956</v>
      </c>
      <c r="C210" s="1" t="n">
        <v>45877</v>
      </c>
      <c r="D210" t="inlineStr">
        <is>
          <t>GÄVLEBORGS LÄN</t>
        </is>
      </c>
      <c r="E210" t="inlineStr">
        <is>
          <t>HOFORS</t>
        </is>
      </c>
      <c r="G210" t="n">
        <v>5.1</v>
      </c>
      <c r="H210" t="n">
        <v>0</v>
      </c>
      <c r="I210" t="n">
        <v>0</v>
      </c>
      <c r="J210" t="n">
        <v>0</v>
      </c>
      <c r="K210" t="n">
        <v>0</v>
      </c>
      <c r="L210" t="n">
        <v>0</v>
      </c>
      <c r="M210" t="n">
        <v>0</v>
      </c>
      <c r="N210" t="n">
        <v>0</v>
      </c>
      <c r="O210" t="n">
        <v>0</v>
      </c>
      <c r="P210" t="n">
        <v>0</v>
      </c>
      <c r="Q210" t="n">
        <v>0</v>
      </c>
      <c r="R210" s="2" t="inlineStr"/>
    </row>
    <row r="211" ht="15" customHeight="1">
      <c r="A211" t="inlineStr">
        <is>
          <t>A 6929-2023</t>
        </is>
      </c>
      <c r="B211" s="1" t="n">
        <v>44967</v>
      </c>
      <c r="C211" s="1" t="n">
        <v>45877</v>
      </c>
      <c r="D211" t="inlineStr">
        <is>
          <t>GÄVLEBORGS LÄN</t>
        </is>
      </c>
      <c r="E211" t="inlineStr">
        <is>
          <t>HOFORS</t>
        </is>
      </c>
      <c r="G211" t="n">
        <v>0.9</v>
      </c>
      <c r="H211" t="n">
        <v>0</v>
      </c>
      <c r="I211" t="n">
        <v>0</v>
      </c>
      <c r="J211" t="n">
        <v>0</v>
      </c>
      <c r="K211" t="n">
        <v>0</v>
      </c>
      <c r="L211" t="n">
        <v>0</v>
      </c>
      <c r="M211" t="n">
        <v>0</v>
      </c>
      <c r="N211" t="n">
        <v>0</v>
      </c>
      <c r="O211" t="n">
        <v>0</v>
      </c>
      <c r="P211" t="n">
        <v>0</v>
      </c>
      <c r="Q211" t="n">
        <v>0</v>
      </c>
      <c r="R211" s="2" t="inlineStr"/>
    </row>
    <row r="212" ht="15" customHeight="1">
      <c r="A212" t="inlineStr">
        <is>
          <t>A 8510-2023</t>
        </is>
      </c>
      <c r="B212" s="1" t="n">
        <v>44977</v>
      </c>
      <c r="C212" s="1" t="n">
        <v>45877</v>
      </c>
      <c r="D212" t="inlineStr">
        <is>
          <t>GÄVLEBORGS LÄN</t>
        </is>
      </c>
      <c r="E212" t="inlineStr">
        <is>
          <t>HOFORS</t>
        </is>
      </c>
      <c r="G212" t="n">
        <v>0.4</v>
      </c>
      <c r="H212" t="n">
        <v>0</v>
      </c>
      <c r="I212" t="n">
        <v>0</v>
      </c>
      <c r="J212" t="n">
        <v>0</v>
      </c>
      <c r="K212" t="n">
        <v>0</v>
      </c>
      <c r="L212" t="n">
        <v>0</v>
      </c>
      <c r="M212" t="n">
        <v>0</v>
      </c>
      <c r="N212" t="n">
        <v>0</v>
      </c>
      <c r="O212" t="n">
        <v>0</v>
      </c>
      <c r="P212" t="n">
        <v>0</v>
      </c>
      <c r="Q212" t="n">
        <v>0</v>
      </c>
      <c r="R212" s="2" t="inlineStr"/>
    </row>
    <row r="213" ht="15" customHeight="1">
      <c r="A213" t="inlineStr">
        <is>
          <t>A 10161-2023</t>
        </is>
      </c>
      <c r="B213" s="1" t="n">
        <v>44986</v>
      </c>
      <c r="C213" s="1" t="n">
        <v>45877</v>
      </c>
      <c r="D213" t="inlineStr">
        <is>
          <t>GÄVLEBORGS LÄN</t>
        </is>
      </c>
      <c r="E213" t="inlineStr">
        <is>
          <t>HOFORS</t>
        </is>
      </c>
      <c r="F213" t="inlineStr">
        <is>
          <t>Övriga statliga verk och myndigheter</t>
        </is>
      </c>
      <c r="G213" t="n">
        <v>0.6</v>
      </c>
      <c r="H213" t="n">
        <v>0</v>
      </c>
      <c r="I213" t="n">
        <v>0</v>
      </c>
      <c r="J213" t="n">
        <v>0</v>
      </c>
      <c r="K213" t="n">
        <v>0</v>
      </c>
      <c r="L213" t="n">
        <v>0</v>
      </c>
      <c r="M213" t="n">
        <v>0</v>
      </c>
      <c r="N213" t="n">
        <v>0</v>
      </c>
      <c r="O213" t="n">
        <v>0</v>
      </c>
      <c r="P213" t="n">
        <v>0</v>
      </c>
      <c r="Q213" t="n">
        <v>0</v>
      </c>
      <c r="R213" s="2" t="inlineStr"/>
    </row>
    <row r="214" ht="15" customHeight="1">
      <c r="A214" t="inlineStr">
        <is>
          <t>A 11607-2023</t>
        </is>
      </c>
      <c r="B214" s="1" t="n">
        <v>44994</v>
      </c>
      <c r="C214" s="1" t="n">
        <v>45877</v>
      </c>
      <c r="D214" t="inlineStr">
        <is>
          <t>GÄVLEBORGS LÄN</t>
        </is>
      </c>
      <c r="E214" t="inlineStr">
        <is>
          <t>HOFORS</t>
        </is>
      </c>
      <c r="F214" t="inlineStr">
        <is>
          <t>Övriga statliga verk och myndigheter</t>
        </is>
      </c>
      <c r="G214" t="n">
        <v>1.1</v>
      </c>
      <c r="H214" t="n">
        <v>0</v>
      </c>
      <c r="I214" t="n">
        <v>0</v>
      </c>
      <c r="J214" t="n">
        <v>0</v>
      </c>
      <c r="K214" t="n">
        <v>0</v>
      </c>
      <c r="L214" t="n">
        <v>0</v>
      </c>
      <c r="M214" t="n">
        <v>0</v>
      </c>
      <c r="N214" t="n">
        <v>0</v>
      </c>
      <c r="O214" t="n">
        <v>0</v>
      </c>
      <c r="P214" t="n">
        <v>0</v>
      </c>
      <c r="Q214" t="n">
        <v>0</v>
      </c>
      <c r="R214" s="2" t="inlineStr"/>
    </row>
    <row r="215" ht="15" customHeight="1">
      <c r="A215" t="inlineStr">
        <is>
          <t>A 13744-2023</t>
        </is>
      </c>
      <c r="B215" s="1" t="n">
        <v>45007</v>
      </c>
      <c r="C215" s="1" t="n">
        <v>45877</v>
      </c>
      <c r="D215" t="inlineStr">
        <is>
          <t>GÄVLEBORGS LÄN</t>
        </is>
      </c>
      <c r="E215" t="inlineStr">
        <is>
          <t>HOFORS</t>
        </is>
      </c>
      <c r="F215" t="inlineStr">
        <is>
          <t>Övriga statliga verk och myndigheter</t>
        </is>
      </c>
      <c r="G215" t="n">
        <v>1</v>
      </c>
      <c r="H215" t="n">
        <v>0</v>
      </c>
      <c r="I215" t="n">
        <v>0</v>
      </c>
      <c r="J215" t="n">
        <v>0</v>
      </c>
      <c r="K215" t="n">
        <v>0</v>
      </c>
      <c r="L215" t="n">
        <v>0</v>
      </c>
      <c r="M215" t="n">
        <v>0</v>
      </c>
      <c r="N215" t="n">
        <v>0</v>
      </c>
      <c r="O215" t="n">
        <v>0</v>
      </c>
      <c r="P215" t="n">
        <v>0</v>
      </c>
      <c r="Q215" t="n">
        <v>0</v>
      </c>
      <c r="R215" s="2" t="inlineStr"/>
    </row>
    <row r="216" ht="15" customHeight="1">
      <c r="A216" t="inlineStr">
        <is>
          <t>A 13745-2023</t>
        </is>
      </c>
      <c r="B216" s="1" t="n">
        <v>45007</v>
      </c>
      <c r="C216" s="1" t="n">
        <v>45877</v>
      </c>
      <c r="D216" t="inlineStr">
        <is>
          <t>GÄVLEBORGS LÄN</t>
        </is>
      </c>
      <c r="E216" t="inlineStr">
        <is>
          <t>HOFORS</t>
        </is>
      </c>
      <c r="F216" t="inlineStr">
        <is>
          <t>Övriga statliga verk och myndigheter</t>
        </is>
      </c>
      <c r="G216" t="n">
        <v>0.5</v>
      </c>
      <c r="H216" t="n">
        <v>0</v>
      </c>
      <c r="I216" t="n">
        <v>0</v>
      </c>
      <c r="J216" t="n">
        <v>0</v>
      </c>
      <c r="K216" t="n">
        <v>0</v>
      </c>
      <c r="L216" t="n">
        <v>0</v>
      </c>
      <c r="M216" t="n">
        <v>0</v>
      </c>
      <c r="N216" t="n">
        <v>0</v>
      </c>
      <c r="O216" t="n">
        <v>0</v>
      </c>
      <c r="P216" t="n">
        <v>0</v>
      </c>
      <c r="Q216" t="n">
        <v>0</v>
      </c>
      <c r="R216" s="2" t="inlineStr"/>
    </row>
    <row r="217" ht="15" customHeight="1">
      <c r="A217" t="inlineStr">
        <is>
          <t>A 14811-2023</t>
        </is>
      </c>
      <c r="B217" s="1" t="n">
        <v>45014</v>
      </c>
      <c r="C217" s="1" t="n">
        <v>45877</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18693-2023</t>
        </is>
      </c>
      <c r="B218" s="1" t="n">
        <v>45043</v>
      </c>
      <c r="C218" s="1" t="n">
        <v>45877</v>
      </c>
      <c r="D218" t="inlineStr">
        <is>
          <t>GÄVLEBORGS LÄN</t>
        </is>
      </c>
      <c r="E218" t="inlineStr">
        <is>
          <t>HOFORS</t>
        </is>
      </c>
      <c r="G218" t="n">
        <v>2.5</v>
      </c>
      <c r="H218" t="n">
        <v>0</v>
      </c>
      <c r="I218" t="n">
        <v>0</v>
      </c>
      <c r="J218" t="n">
        <v>0</v>
      </c>
      <c r="K218" t="n">
        <v>0</v>
      </c>
      <c r="L218" t="n">
        <v>0</v>
      </c>
      <c r="M218" t="n">
        <v>0</v>
      </c>
      <c r="N218" t="n">
        <v>0</v>
      </c>
      <c r="O218" t="n">
        <v>0</v>
      </c>
      <c r="P218" t="n">
        <v>0</v>
      </c>
      <c r="Q218" t="n">
        <v>0</v>
      </c>
      <c r="R218" s="2" t="inlineStr"/>
    </row>
    <row r="219" ht="15" customHeight="1">
      <c r="A219" t="inlineStr">
        <is>
          <t>A 18690-2023</t>
        </is>
      </c>
      <c r="B219" s="1" t="n">
        <v>45043</v>
      </c>
      <c r="C219" s="1" t="n">
        <v>45877</v>
      </c>
      <c r="D219" t="inlineStr">
        <is>
          <t>GÄVLEBORGS LÄN</t>
        </is>
      </c>
      <c r="E219" t="inlineStr">
        <is>
          <t>HOFORS</t>
        </is>
      </c>
      <c r="G219" t="n">
        <v>0.7</v>
      </c>
      <c r="H219" t="n">
        <v>0</v>
      </c>
      <c r="I219" t="n">
        <v>0</v>
      </c>
      <c r="J219" t="n">
        <v>0</v>
      </c>
      <c r="K219" t="n">
        <v>0</v>
      </c>
      <c r="L219" t="n">
        <v>0</v>
      </c>
      <c r="M219" t="n">
        <v>0</v>
      </c>
      <c r="N219" t="n">
        <v>0</v>
      </c>
      <c r="O219" t="n">
        <v>0</v>
      </c>
      <c r="P219" t="n">
        <v>0</v>
      </c>
      <c r="Q219" t="n">
        <v>0</v>
      </c>
      <c r="R219" s="2" t="inlineStr"/>
    </row>
    <row r="220" ht="15" customHeight="1">
      <c r="A220" t="inlineStr">
        <is>
          <t>A 18930-2023</t>
        </is>
      </c>
      <c r="B220" s="1" t="n">
        <v>45044</v>
      </c>
      <c r="C220" s="1" t="n">
        <v>45877</v>
      </c>
      <c r="D220" t="inlineStr">
        <is>
          <t>GÄVLEBORGS LÄN</t>
        </is>
      </c>
      <c r="E220" t="inlineStr">
        <is>
          <t>HOFORS</t>
        </is>
      </c>
      <c r="G220" t="n">
        <v>5.9</v>
      </c>
      <c r="H220" t="n">
        <v>0</v>
      </c>
      <c r="I220" t="n">
        <v>0</v>
      </c>
      <c r="J220" t="n">
        <v>0</v>
      </c>
      <c r="K220" t="n">
        <v>0</v>
      </c>
      <c r="L220" t="n">
        <v>0</v>
      </c>
      <c r="M220" t="n">
        <v>0</v>
      </c>
      <c r="N220" t="n">
        <v>0</v>
      </c>
      <c r="O220" t="n">
        <v>0</v>
      </c>
      <c r="P220" t="n">
        <v>0</v>
      </c>
      <c r="Q220" t="n">
        <v>0</v>
      </c>
      <c r="R220" s="2" t="inlineStr"/>
    </row>
    <row r="221" ht="15" customHeight="1">
      <c r="A221" t="inlineStr">
        <is>
          <t>A 19476-2023</t>
        </is>
      </c>
      <c r="B221" s="1" t="n">
        <v>45050</v>
      </c>
      <c r="C221" s="1" t="n">
        <v>45877</v>
      </c>
      <c r="D221" t="inlineStr">
        <is>
          <t>GÄVLEBORGS LÄN</t>
        </is>
      </c>
      <c r="E221" t="inlineStr">
        <is>
          <t>HOFORS</t>
        </is>
      </c>
      <c r="G221" t="n">
        <v>1.4</v>
      </c>
      <c r="H221" t="n">
        <v>0</v>
      </c>
      <c r="I221" t="n">
        <v>0</v>
      </c>
      <c r="J221" t="n">
        <v>0</v>
      </c>
      <c r="K221" t="n">
        <v>0</v>
      </c>
      <c r="L221" t="n">
        <v>0</v>
      </c>
      <c r="M221" t="n">
        <v>0</v>
      </c>
      <c r="N221" t="n">
        <v>0</v>
      </c>
      <c r="O221" t="n">
        <v>0</v>
      </c>
      <c r="P221" t="n">
        <v>0</v>
      </c>
      <c r="Q221" t="n">
        <v>0</v>
      </c>
      <c r="R221" s="2" t="inlineStr"/>
    </row>
    <row r="222" ht="15" customHeight="1">
      <c r="A222" t="inlineStr">
        <is>
          <t>A 19475-2023</t>
        </is>
      </c>
      <c r="B222" s="1" t="n">
        <v>45050</v>
      </c>
      <c r="C222" s="1" t="n">
        <v>45877</v>
      </c>
      <c r="D222" t="inlineStr">
        <is>
          <t>GÄVLEBORGS LÄN</t>
        </is>
      </c>
      <c r="E222" t="inlineStr">
        <is>
          <t>HOFORS</t>
        </is>
      </c>
      <c r="G222" t="n">
        <v>2.1</v>
      </c>
      <c r="H222" t="n">
        <v>0</v>
      </c>
      <c r="I222" t="n">
        <v>0</v>
      </c>
      <c r="J222" t="n">
        <v>0</v>
      </c>
      <c r="K222" t="n">
        <v>0</v>
      </c>
      <c r="L222" t="n">
        <v>0</v>
      </c>
      <c r="M222" t="n">
        <v>0</v>
      </c>
      <c r="N222" t="n">
        <v>0</v>
      </c>
      <c r="O222" t="n">
        <v>0</v>
      </c>
      <c r="P222" t="n">
        <v>0</v>
      </c>
      <c r="Q222" t="n">
        <v>0</v>
      </c>
      <c r="R222" s="2" t="inlineStr"/>
    </row>
    <row r="223" ht="15" customHeight="1">
      <c r="A223" t="inlineStr">
        <is>
          <t>A 19684-2023</t>
        </is>
      </c>
      <c r="B223" s="1" t="n">
        <v>45051</v>
      </c>
      <c r="C223" s="1" t="n">
        <v>45877</v>
      </c>
      <c r="D223" t="inlineStr">
        <is>
          <t>GÄVLEBORGS LÄN</t>
        </is>
      </c>
      <c r="E223" t="inlineStr">
        <is>
          <t>HOFORS</t>
        </is>
      </c>
      <c r="G223" t="n">
        <v>3.3</v>
      </c>
      <c r="H223" t="n">
        <v>0</v>
      </c>
      <c r="I223" t="n">
        <v>0</v>
      </c>
      <c r="J223" t="n">
        <v>0</v>
      </c>
      <c r="K223" t="n">
        <v>0</v>
      </c>
      <c r="L223" t="n">
        <v>0</v>
      </c>
      <c r="M223" t="n">
        <v>0</v>
      </c>
      <c r="N223" t="n">
        <v>0</v>
      </c>
      <c r="O223" t="n">
        <v>0</v>
      </c>
      <c r="P223" t="n">
        <v>0</v>
      </c>
      <c r="Q223" t="n">
        <v>0</v>
      </c>
      <c r="R223" s="2" t="inlineStr"/>
    </row>
    <row r="224" ht="15" customHeight="1">
      <c r="A224" t="inlineStr">
        <is>
          <t>A 19685-2023</t>
        </is>
      </c>
      <c r="B224" s="1" t="n">
        <v>45051</v>
      </c>
      <c r="C224" s="1" t="n">
        <v>45877</v>
      </c>
      <c r="D224" t="inlineStr">
        <is>
          <t>GÄVLEBORGS LÄN</t>
        </is>
      </c>
      <c r="E224" t="inlineStr">
        <is>
          <t>HOFORS</t>
        </is>
      </c>
      <c r="G224" t="n">
        <v>3.4</v>
      </c>
      <c r="H224" t="n">
        <v>0</v>
      </c>
      <c r="I224" t="n">
        <v>0</v>
      </c>
      <c r="J224" t="n">
        <v>0</v>
      </c>
      <c r="K224" t="n">
        <v>0</v>
      </c>
      <c r="L224" t="n">
        <v>0</v>
      </c>
      <c r="M224" t="n">
        <v>0</v>
      </c>
      <c r="N224" t="n">
        <v>0</v>
      </c>
      <c r="O224" t="n">
        <v>0</v>
      </c>
      <c r="P224" t="n">
        <v>0</v>
      </c>
      <c r="Q224" t="n">
        <v>0</v>
      </c>
      <c r="R224" s="2" t="inlineStr"/>
    </row>
    <row r="225" ht="15" customHeight="1">
      <c r="A225" t="inlineStr">
        <is>
          <t>A 19687-2023</t>
        </is>
      </c>
      <c r="B225" s="1" t="n">
        <v>45051</v>
      </c>
      <c r="C225" s="1" t="n">
        <v>45877</v>
      </c>
      <c r="D225" t="inlineStr">
        <is>
          <t>GÄVLEBORGS LÄN</t>
        </is>
      </c>
      <c r="E225" t="inlineStr">
        <is>
          <t>HOFORS</t>
        </is>
      </c>
      <c r="G225" t="n">
        <v>1.7</v>
      </c>
      <c r="H225" t="n">
        <v>0</v>
      </c>
      <c r="I225" t="n">
        <v>0</v>
      </c>
      <c r="J225" t="n">
        <v>0</v>
      </c>
      <c r="K225" t="n">
        <v>0</v>
      </c>
      <c r="L225" t="n">
        <v>0</v>
      </c>
      <c r="M225" t="n">
        <v>0</v>
      </c>
      <c r="N225" t="n">
        <v>0</v>
      </c>
      <c r="O225" t="n">
        <v>0</v>
      </c>
      <c r="P225" t="n">
        <v>0</v>
      </c>
      <c r="Q225" t="n">
        <v>0</v>
      </c>
      <c r="R225" s="2" t="inlineStr"/>
    </row>
    <row r="226" ht="15" customHeight="1">
      <c r="A226" t="inlineStr">
        <is>
          <t>A 22129-2023</t>
        </is>
      </c>
      <c r="B226" s="1" t="n">
        <v>45069</v>
      </c>
      <c r="C226" s="1" t="n">
        <v>45877</v>
      </c>
      <c r="D226" t="inlineStr">
        <is>
          <t>GÄVLEBORGS LÄN</t>
        </is>
      </c>
      <c r="E226" t="inlineStr">
        <is>
          <t>HOFORS</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22297-2023</t>
        </is>
      </c>
      <c r="B227" s="1" t="n">
        <v>45070</v>
      </c>
      <c r="C227" s="1" t="n">
        <v>45877</v>
      </c>
      <c r="D227" t="inlineStr">
        <is>
          <t>GÄVLEBORGS LÄN</t>
        </is>
      </c>
      <c r="E227" t="inlineStr">
        <is>
          <t>HOFORS</t>
        </is>
      </c>
      <c r="G227" t="n">
        <v>5.9</v>
      </c>
      <c r="H227" t="n">
        <v>0</v>
      </c>
      <c r="I227" t="n">
        <v>0</v>
      </c>
      <c r="J227" t="n">
        <v>0</v>
      </c>
      <c r="K227" t="n">
        <v>0</v>
      </c>
      <c r="L227" t="n">
        <v>0</v>
      </c>
      <c r="M227" t="n">
        <v>0</v>
      </c>
      <c r="N227" t="n">
        <v>0</v>
      </c>
      <c r="O227" t="n">
        <v>0</v>
      </c>
      <c r="P227" t="n">
        <v>0</v>
      </c>
      <c r="Q227" t="n">
        <v>0</v>
      </c>
      <c r="R227" s="2" t="inlineStr"/>
    </row>
    <row r="228" ht="15" customHeight="1">
      <c r="A228" t="inlineStr">
        <is>
          <t>A 22787-2023</t>
        </is>
      </c>
      <c r="B228" s="1" t="n">
        <v>45072</v>
      </c>
      <c r="C228" s="1" t="n">
        <v>45877</v>
      </c>
      <c r="D228" t="inlineStr">
        <is>
          <t>GÄVLEBORGS LÄN</t>
        </is>
      </c>
      <c r="E228" t="inlineStr">
        <is>
          <t>HOFORS</t>
        </is>
      </c>
      <c r="G228" t="n">
        <v>1</v>
      </c>
      <c r="H228" t="n">
        <v>0</v>
      </c>
      <c r="I228" t="n">
        <v>0</v>
      </c>
      <c r="J228" t="n">
        <v>0</v>
      </c>
      <c r="K228" t="n">
        <v>0</v>
      </c>
      <c r="L228" t="n">
        <v>0</v>
      </c>
      <c r="M228" t="n">
        <v>0</v>
      </c>
      <c r="N228" t="n">
        <v>0</v>
      </c>
      <c r="O228" t="n">
        <v>0</v>
      </c>
      <c r="P228" t="n">
        <v>0</v>
      </c>
      <c r="Q228" t="n">
        <v>0</v>
      </c>
      <c r="R228" s="2" t="inlineStr"/>
    </row>
    <row r="229" ht="15" customHeight="1">
      <c r="A229" t="inlineStr">
        <is>
          <t>A 22904-2023</t>
        </is>
      </c>
      <c r="B229" s="1" t="n">
        <v>45072</v>
      </c>
      <c r="C229" s="1" t="n">
        <v>45877</v>
      </c>
      <c r="D229" t="inlineStr">
        <is>
          <t>GÄVLEBORGS LÄN</t>
        </is>
      </c>
      <c r="E229" t="inlineStr">
        <is>
          <t>HOFORS</t>
        </is>
      </c>
      <c r="G229" t="n">
        <v>1.8</v>
      </c>
      <c r="H229" t="n">
        <v>0</v>
      </c>
      <c r="I229" t="n">
        <v>0</v>
      </c>
      <c r="J229" t="n">
        <v>0</v>
      </c>
      <c r="K229" t="n">
        <v>0</v>
      </c>
      <c r="L229" t="n">
        <v>0</v>
      </c>
      <c r="M229" t="n">
        <v>0</v>
      </c>
      <c r="N229" t="n">
        <v>0</v>
      </c>
      <c r="O229" t="n">
        <v>0</v>
      </c>
      <c r="P229" t="n">
        <v>0</v>
      </c>
      <c r="Q229" t="n">
        <v>0</v>
      </c>
      <c r="R229" s="2" t="inlineStr"/>
    </row>
    <row r="230" ht="15" customHeight="1">
      <c r="A230" t="inlineStr">
        <is>
          <t>A 22783-2023</t>
        </is>
      </c>
      <c r="B230" s="1" t="n">
        <v>45072</v>
      </c>
      <c r="C230" s="1" t="n">
        <v>45877</v>
      </c>
      <c r="D230" t="inlineStr">
        <is>
          <t>GÄVLEBORGS LÄN</t>
        </is>
      </c>
      <c r="E230" t="inlineStr">
        <is>
          <t>HOFORS</t>
        </is>
      </c>
      <c r="G230" t="n">
        <v>2.4</v>
      </c>
      <c r="H230" t="n">
        <v>0</v>
      </c>
      <c r="I230" t="n">
        <v>0</v>
      </c>
      <c r="J230" t="n">
        <v>0</v>
      </c>
      <c r="K230" t="n">
        <v>0</v>
      </c>
      <c r="L230" t="n">
        <v>0</v>
      </c>
      <c r="M230" t="n">
        <v>0</v>
      </c>
      <c r="N230" t="n">
        <v>0</v>
      </c>
      <c r="O230" t="n">
        <v>0</v>
      </c>
      <c r="P230" t="n">
        <v>0</v>
      </c>
      <c r="Q230" t="n">
        <v>0</v>
      </c>
      <c r="R230" s="2" t="inlineStr"/>
    </row>
    <row r="231" ht="15" customHeight="1">
      <c r="A231" t="inlineStr">
        <is>
          <t>A 24646-2023</t>
        </is>
      </c>
      <c r="B231" s="1" t="n">
        <v>45084</v>
      </c>
      <c r="C231" s="1" t="n">
        <v>45877</v>
      </c>
      <c r="D231" t="inlineStr">
        <is>
          <t>GÄVLEBORGS LÄN</t>
        </is>
      </c>
      <c r="E231" t="inlineStr">
        <is>
          <t>HOFORS</t>
        </is>
      </c>
      <c r="G231" t="n">
        <v>1.1</v>
      </c>
      <c r="H231" t="n">
        <v>0</v>
      </c>
      <c r="I231" t="n">
        <v>0</v>
      </c>
      <c r="J231" t="n">
        <v>0</v>
      </c>
      <c r="K231" t="n">
        <v>0</v>
      </c>
      <c r="L231" t="n">
        <v>0</v>
      </c>
      <c r="M231" t="n">
        <v>0</v>
      </c>
      <c r="N231" t="n">
        <v>0</v>
      </c>
      <c r="O231" t="n">
        <v>0</v>
      </c>
      <c r="P231" t="n">
        <v>0</v>
      </c>
      <c r="Q231" t="n">
        <v>0</v>
      </c>
      <c r="R231" s="2" t="inlineStr"/>
    </row>
    <row r="232" ht="15" customHeight="1">
      <c r="A232" t="inlineStr">
        <is>
          <t>A 24769-2023</t>
        </is>
      </c>
      <c r="B232" s="1" t="n">
        <v>45084</v>
      </c>
      <c r="C232" s="1" t="n">
        <v>45877</v>
      </c>
      <c r="D232" t="inlineStr">
        <is>
          <t>GÄVLEBORGS LÄN</t>
        </is>
      </c>
      <c r="E232" t="inlineStr">
        <is>
          <t>HOFORS</t>
        </is>
      </c>
      <c r="F232" t="inlineStr">
        <is>
          <t>Sveaskog</t>
        </is>
      </c>
      <c r="G232" t="n">
        <v>10.6</v>
      </c>
      <c r="H232" t="n">
        <v>0</v>
      </c>
      <c r="I232" t="n">
        <v>0</v>
      </c>
      <c r="J232" t="n">
        <v>0</v>
      </c>
      <c r="K232" t="n">
        <v>0</v>
      </c>
      <c r="L232" t="n">
        <v>0</v>
      </c>
      <c r="M232" t="n">
        <v>0</v>
      </c>
      <c r="N232" t="n">
        <v>0</v>
      </c>
      <c r="O232" t="n">
        <v>0</v>
      </c>
      <c r="P232" t="n">
        <v>0</v>
      </c>
      <c r="Q232" t="n">
        <v>0</v>
      </c>
      <c r="R232" s="2" t="inlineStr"/>
    </row>
    <row r="233" ht="15" customHeight="1">
      <c r="A233" t="inlineStr">
        <is>
          <t>A 24772-2023</t>
        </is>
      </c>
      <c r="B233" s="1" t="n">
        <v>45084</v>
      </c>
      <c r="C233" s="1" t="n">
        <v>45877</v>
      </c>
      <c r="D233" t="inlineStr">
        <is>
          <t>GÄVLEBORGS LÄN</t>
        </is>
      </c>
      <c r="E233" t="inlineStr">
        <is>
          <t>HOFORS</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24989-2023</t>
        </is>
      </c>
      <c r="B234" s="1" t="n">
        <v>45085</v>
      </c>
      <c r="C234" s="1" t="n">
        <v>45877</v>
      </c>
      <c r="D234" t="inlineStr">
        <is>
          <t>GÄVLEBORGS LÄN</t>
        </is>
      </c>
      <c r="E234" t="inlineStr">
        <is>
          <t>HOFORS</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24988-2023</t>
        </is>
      </c>
      <c r="B235" s="1" t="n">
        <v>45085</v>
      </c>
      <c r="C235" s="1" t="n">
        <v>45877</v>
      </c>
      <c r="D235" t="inlineStr">
        <is>
          <t>GÄVLEBORGS LÄN</t>
        </is>
      </c>
      <c r="E235" t="inlineStr">
        <is>
          <t>HOFORS</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27583-2023</t>
        </is>
      </c>
      <c r="B236" s="1" t="n">
        <v>45097</v>
      </c>
      <c r="C236" s="1" t="n">
        <v>45877</v>
      </c>
      <c r="D236" t="inlineStr">
        <is>
          <t>GÄVLEBORGS LÄN</t>
        </is>
      </c>
      <c r="E236" t="inlineStr">
        <is>
          <t>HOFORS</t>
        </is>
      </c>
      <c r="G236" t="n">
        <v>2.3</v>
      </c>
      <c r="H236" t="n">
        <v>0</v>
      </c>
      <c r="I236" t="n">
        <v>0</v>
      </c>
      <c r="J236" t="n">
        <v>0</v>
      </c>
      <c r="K236" t="n">
        <v>0</v>
      </c>
      <c r="L236" t="n">
        <v>0</v>
      </c>
      <c r="M236" t="n">
        <v>0</v>
      </c>
      <c r="N236" t="n">
        <v>0</v>
      </c>
      <c r="O236" t="n">
        <v>0</v>
      </c>
      <c r="P236" t="n">
        <v>0</v>
      </c>
      <c r="Q236" t="n">
        <v>0</v>
      </c>
      <c r="R236" s="2" t="inlineStr"/>
    </row>
    <row r="237" ht="15" customHeight="1">
      <c r="A237" t="inlineStr">
        <is>
          <t>A 28058-2023</t>
        </is>
      </c>
      <c r="B237" s="1" t="n">
        <v>45099</v>
      </c>
      <c r="C237" s="1" t="n">
        <v>45877</v>
      </c>
      <c r="D237" t="inlineStr">
        <is>
          <t>GÄVLEBORGS LÄN</t>
        </is>
      </c>
      <c r="E237" t="inlineStr">
        <is>
          <t>HOFORS</t>
        </is>
      </c>
      <c r="G237" t="n">
        <v>2.5</v>
      </c>
      <c r="H237" t="n">
        <v>0</v>
      </c>
      <c r="I237" t="n">
        <v>0</v>
      </c>
      <c r="J237" t="n">
        <v>0</v>
      </c>
      <c r="K237" t="n">
        <v>0</v>
      </c>
      <c r="L237" t="n">
        <v>0</v>
      </c>
      <c r="M237" t="n">
        <v>0</v>
      </c>
      <c r="N237" t="n">
        <v>0</v>
      </c>
      <c r="O237" t="n">
        <v>0</v>
      </c>
      <c r="P237" t="n">
        <v>0</v>
      </c>
      <c r="Q237" t="n">
        <v>0</v>
      </c>
      <c r="R237" s="2" t="inlineStr"/>
    </row>
    <row r="238" ht="15" customHeight="1">
      <c r="A238" t="inlineStr">
        <is>
          <t>A 31607-2023</t>
        </is>
      </c>
      <c r="B238" s="1" t="n">
        <v>45117</v>
      </c>
      <c r="C238" s="1" t="n">
        <v>45877</v>
      </c>
      <c r="D238" t="inlineStr">
        <is>
          <t>GÄVLEBORGS LÄN</t>
        </is>
      </c>
      <c r="E238" t="inlineStr">
        <is>
          <t>HOFORS</t>
        </is>
      </c>
      <c r="G238" t="n">
        <v>3.8</v>
      </c>
      <c r="H238" t="n">
        <v>0</v>
      </c>
      <c r="I238" t="n">
        <v>0</v>
      </c>
      <c r="J238" t="n">
        <v>0</v>
      </c>
      <c r="K238" t="n">
        <v>0</v>
      </c>
      <c r="L238" t="n">
        <v>0</v>
      </c>
      <c r="M238" t="n">
        <v>0</v>
      </c>
      <c r="N238" t="n">
        <v>0</v>
      </c>
      <c r="O238" t="n">
        <v>0</v>
      </c>
      <c r="P238" t="n">
        <v>0</v>
      </c>
      <c r="Q238" t="n">
        <v>0</v>
      </c>
      <c r="R238" s="2" t="inlineStr"/>
    </row>
    <row r="239" ht="15" customHeight="1">
      <c r="A239" t="inlineStr">
        <is>
          <t>A 31611-2023</t>
        </is>
      </c>
      <c r="B239" s="1" t="n">
        <v>45117</v>
      </c>
      <c r="C239" s="1" t="n">
        <v>45877</v>
      </c>
      <c r="D239" t="inlineStr">
        <is>
          <t>GÄVLEBORGS LÄN</t>
        </is>
      </c>
      <c r="E239" t="inlineStr">
        <is>
          <t>HOFORS</t>
        </is>
      </c>
      <c r="G239" t="n">
        <v>4.4</v>
      </c>
      <c r="H239" t="n">
        <v>0</v>
      </c>
      <c r="I239" t="n">
        <v>0</v>
      </c>
      <c r="J239" t="n">
        <v>0</v>
      </c>
      <c r="K239" t="n">
        <v>0</v>
      </c>
      <c r="L239" t="n">
        <v>0</v>
      </c>
      <c r="M239" t="n">
        <v>0</v>
      </c>
      <c r="N239" t="n">
        <v>0</v>
      </c>
      <c r="O239" t="n">
        <v>0</v>
      </c>
      <c r="P239" t="n">
        <v>0</v>
      </c>
      <c r="Q239" t="n">
        <v>0</v>
      </c>
      <c r="R239" s="2" t="inlineStr"/>
    </row>
    <row r="240" ht="15" customHeight="1">
      <c r="A240" t="inlineStr">
        <is>
          <t>A 31613-2023</t>
        </is>
      </c>
      <c r="B240" s="1" t="n">
        <v>45117</v>
      </c>
      <c r="C240" s="1" t="n">
        <v>45877</v>
      </c>
      <c r="D240" t="inlineStr">
        <is>
          <t>GÄVLEBORGS LÄN</t>
        </is>
      </c>
      <c r="E240" t="inlineStr">
        <is>
          <t>HOFORS</t>
        </is>
      </c>
      <c r="G240" t="n">
        <v>1.2</v>
      </c>
      <c r="H240" t="n">
        <v>0</v>
      </c>
      <c r="I240" t="n">
        <v>0</v>
      </c>
      <c r="J240" t="n">
        <v>0</v>
      </c>
      <c r="K240" t="n">
        <v>0</v>
      </c>
      <c r="L240" t="n">
        <v>0</v>
      </c>
      <c r="M240" t="n">
        <v>0</v>
      </c>
      <c r="N240" t="n">
        <v>0</v>
      </c>
      <c r="O240" t="n">
        <v>0</v>
      </c>
      <c r="P240" t="n">
        <v>0</v>
      </c>
      <c r="Q240" t="n">
        <v>0</v>
      </c>
      <c r="R240" s="2" t="inlineStr"/>
    </row>
    <row r="241" ht="15" customHeight="1">
      <c r="A241" t="inlineStr">
        <is>
          <t>A 31823-2023</t>
        </is>
      </c>
      <c r="B241" s="1" t="n">
        <v>45118</v>
      </c>
      <c r="C241" s="1" t="n">
        <v>45877</v>
      </c>
      <c r="D241" t="inlineStr">
        <is>
          <t>GÄVLEBORGS LÄN</t>
        </is>
      </c>
      <c r="E241" t="inlineStr">
        <is>
          <t>HOFORS</t>
        </is>
      </c>
      <c r="G241" t="n">
        <v>1.2</v>
      </c>
      <c r="H241" t="n">
        <v>0</v>
      </c>
      <c r="I241" t="n">
        <v>0</v>
      </c>
      <c r="J241" t="n">
        <v>0</v>
      </c>
      <c r="K241" t="n">
        <v>0</v>
      </c>
      <c r="L241" t="n">
        <v>0</v>
      </c>
      <c r="M241" t="n">
        <v>0</v>
      </c>
      <c r="N241" t="n">
        <v>0</v>
      </c>
      <c r="O241" t="n">
        <v>0</v>
      </c>
      <c r="P241" t="n">
        <v>0</v>
      </c>
      <c r="Q241" t="n">
        <v>0</v>
      </c>
      <c r="R241" s="2" t="inlineStr"/>
    </row>
    <row r="242" ht="15" customHeight="1">
      <c r="A242" t="inlineStr">
        <is>
          <t>A 31871-2023</t>
        </is>
      </c>
      <c r="B242" s="1" t="n">
        <v>45118</v>
      </c>
      <c r="C242" s="1" t="n">
        <v>45877</v>
      </c>
      <c r="D242" t="inlineStr">
        <is>
          <t>GÄVLEBORGS LÄN</t>
        </is>
      </c>
      <c r="E242" t="inlineStr">
        <is>
          <t>HOFORS</t>
        </is>
      </c>
      <c r="G242" t="n">
        <v>1</v>
      </c>
      <c r="H242" t="n">
        <v>0</v>
      </c>
      <c r="I242" t="n">
        <v>0</v>
      </c>
      <c r="J242" t="n">
        <v>0</v>
      </c>
      <c r="K242" t="n">
        <v>0</v>
      </c>
      <c r="L242" t="n">
        <v>0</v>
      </c>
      <c r="M242" t="n">
        <v>0</v>
      </c>
      <c r="N242" t="n">
        <v>0</v>
      </c>
      <c r="O242" t="n">
        <v>0</v>
      </c>
      <c r="P242" t="n">
        <v>0</v>
      </c>
      <c r="Q242" t="n">
        <v>0</v>
      </c>
      <c r="R242" s="2" t="inlineStr"/>
    </row>
    <row r="243" ht="15" customHeight="1">
      <c r="A243" t="inlineStr">
        <is>
          <t>A 33485-2023</t>
        </is>
      </c>
      <c r="B243" s="1" t="n">
        <v>45118</v>
      </c>
      <c r="C243" s="1" t="n">
        <v>45877</v>
      </c>
      <c r="D243" t="inlineStr">
        <is>
          <t>GÄVLEBORGS LÄN</t>
        </is>
      </c>
      <c r="E243" t="inlineStr">
        <is>
          <t>HOFORS</t>
        </is>
      </c>
      <c r="F243" t="inlineStr">
        <is>
          <t>Bergvik skog väst AB</t>
        </is>
      </c>
      <c r="G243" t="n">
        <v>3.9</v>
      </c>
      <c r="H243" t="n">
        <v>0</v>
      </c>
      <c r="I243" t="n">
        <v>0</v>
      </c>
      <c r="J243" t="n">
        <v>0</v>
      </c>
      <c r="K243" t="n">
        <v>0</v>
      </c>
      <c r="L243" t="n">
        <v>0</v>
      </c>
      <c r="M243" t="n">
        <v>0</v>
      </c>
      <c r="N243" t="n">
        <v>0</v>
      </c>
      <c r="O243" t="n">
        <v>0</v>
      </c>
      <c r="P243" t="n">
        <v>0</v>
      </c>
      <c r="Q243" t="n">
        <v>0</v>
      </c>
      <c r="R243" s="2" t="inlineStr"/>
    </row>
    <row r="244" ht="15" customHeight="1">
      <c r="A244" t="inlineStr">
        <is>
          <t>A 33483-2023</t>
        </is>
      </c>
      <c r="B244" s="1" t="n">
        <v>45118</v>
      </c>
      <c r="C244" s="1" t="n">
        <v>45877</v>
      </c>
      <c r="D244" t="inlineStr">
        <is>
          <t>GÄVLEBORGS LÄN</t>
        </is>
      </c>
      <c r="E244" t="inlineStr">
        <is>
          <t>HOFORS</t>
        </is>
      </c>
      <c r="F244" t="inlineStr">
        <is>
          <t>Bergvik skog väst AB</t>
        </is>
      </c>
      <c r="G244" t="n">
        <v>6.7</v>
      </c>
      <c r="H244" t="n">
        <v>0</v>
      </c>
      <c r="I244" t="n">
        <v>0</v>
      </c>
      <c r="J244" t="n">
        <v>0</v>
      </c>
      <c r="K244" t="n">
        <v>0</v>
      </c>
      <c r="L244" t="n">
        <v>0</v>
      </c>
      <c r="M244" t="n">
        <v>0</v>
      </c>
      <c r="N244" t="n">
        <v>0</v>
      </c>
      <c r="O244" t="n">
        <v>0</v>
      </c>
      <c r="P244" t="n">
        <v>0</v>
      </c>
      <c r="Q244" t="n">
        <v>0</v>
      </c>
      <c r="R244" s="2" t="inlineStr"/>
    </row>
    <row r="245" ht="15" customHeight="1">
      <c r="A245" t="inlineStr">
        <is>
          <t>A 33495-2023</t>
        </is>
      </c>
      <c r="B245" s="1" t="n">
        <v>45118</v>
      </c>
      <c r="C245" s="1" t="n">
        <v>45877</v>
      </c>
      <c r="D245" t="inlineStr">
        <is>
          <t>GÄVLEBORGS LÄN</t>
        </is>
      </c>
      <c r="E245" t="inlineStr">
        <is>
          <t>HOFORS</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32980-2023</t>
        </is>
      </c>
      <c r="B246" s="1" t="n">
        <v>45125</v>
      </c>
      <c r="C246" s="1" t="n">
        <v>45877</v>
      </c>
      <c r="D246" t="inlineStr">
        <is>
          <t>GÄVLEBORGS LÄN</t>
        </is>
      </c>
      <c r="E246" t="inlineStr">
        <is>
          <t>HOFORS</t>
        </is>
      </c>
      <c r="G246" t="n">
        <v>0.7</v>
      </c>
      <c r="H246" t="n">
        <v>0</v>
      </c>
      <c r="I246" t="n">
        <v>0</v>
      </c>
      <c r="J246" t="n">
        <v>0</v>
      </c>
      <c r="K246" t="n">
        <v>0</v>
      </c>
      <c r="L246" t="n">
        <v>0</v>
      </c>
      <c r="M246" t="n">
        <v>0</v>
      </c>
      <c r="N246" t="n">
        <v>0</v>
      </c>
      <c r="O246" t="n">
        <v>0</v>
      </c>
      <c r="P246" t="n">
        <v>0</v>
      </c>
      <c r="Q246" t="n">
        <v>0</v>
      </c>
      <c r="R246" s="2" t="inlineStr"/>
    </row>
    <row r="247" ht="15" customHeight="1">
      <c r="A247" t="inlineStr">
        <is>
          <t>A 33296-2023</t>
        </is>
      </c>
      <c r="B247" s="1" t="n">
        <v>45127</v>
      </c>
      <c r="C247" s="1" t="n">
        <v>45877</v>
      </c>
      <c r="D247" t="inlineStr">
        <is>
          <t>GÄVLEBORGS LÄN</t>
        </is>
      </c>
      <c r="E247" t="inlineStr">
        <is>
          <t>HOFORS</t>
        </is>
      </c>
      <c r="F247" t="inlineStr">
        <is>
          <t>Sveaskog</t>
        </is>
      </c>
      <c r="G247" t="n">
        <v>6.4</v>
      </c>
      <c r="H247" t="n">
        <v>0</v>
      </c>
      <c r="I247" t="n">
        <v>0</v>
      </c>
      <c r="J247" t="n">
        <v>0</v>
      </c>
      <c r="K247" t="n">
        <v>0</v>
      </c>
      <c r="L247" t="n">
        <v>0</v>
      </c>
      <c r="M247" t="n">
        <v>0</v>
      </c>
      <c r="N247" t="n">
        <v>0</v>
      </c>
      <c r="O247" t="n">
        <v>0</v>
      </c>
      <c r="P247" t="n">
        <v>0</v>
      </c>
      <c r="Q247" t="n">
        <v>0</v>
      </c>
      <c r="R247" s="2" t="inlineStr"/>
    </row>
    <row r="248" ht="15" customHeight="1">
      <c r="A248" t="inlineStr">
        <is>
          <t>A 34232-2023</t>
        </is>
      </c>
      <c r="B248" s="1" t="n">
        <v>45127</v>
      </c>
      <c r="C248" s="1" t="n">
        <v>45877</v>
      </c>
      <c r="D248" t="inlineStr">
        <is>
          <t>GÄVLEBORGS LÄN</t>
        </is>
      </c>
      <c r="E248" t="inlineStr">
        <is>
          <t>HOFORS</t>
        </is>
      </c>
      <c r="F248" t="inlineStr">
        <is>
          <t>Bergvik skog väst AB</t>
        </is>
      </c>
      <c r="G248" t="n">
        <v>5.8</v>
      </c>
      <c r="H248" t="n">
        <v>0</v>
      </c>
      <c r="I248" t="n">
        <v>0</v>
      </c>
      <c r="J248" t="n">
        <v>0</v>
      </c>
      <c r="K248" t="n">
        <v>0</v>
      </c>
      <c r="L248" t="n">
        <v>0</v>
      </c>
      <c r="M248" t="n">
        <v>0</v>
      </c>
      <c r="N248" t="n">
        <v>0</v>
      </c>
      <c r="O248" t="n">
        <v>0</v>
      </c>
      <c r="P248" t="n">
        <v>0</v>
      </c>
      <c r="Q248" t="n">
        <v>0</v>
      </c>
      <c r="R248" s="2" t="inlineStr"/>
    </row>
    <row r="249" ht="15" customHeight="1">
      <c r="A249" t="inlineStr">
        <is>
          <t>A 34217-2023</t>
        </is>
      </c>
      <c r="B249" s="1" t="n">
        <v>45138</v>
      </c>
      <c r="C249" s="1" t="n">
        <v>45877</v>
      </c>
      <c r="D249" t="inlineStr">
        <is>
          <t>GÄVLEBORGS LÄN</t>
        </is>
      </c>
      <c r="E249" t="inlineStr">
        <is>
          <t>HOFORS</t>
        </is>
      </c>
      <c r="G249" t="n">
        <v>2</v>
      </c>
      <c r="H249" t="n">
        <v>0</v>
      </c>
      <c r="I249" t="n">
        <v>0</v>
      </c>
      <c r="J249" t="n">
        <v>0</v>
      </c>
      <c r="K249" t="n">
        <v>0</v>
      </c>
      <c r="L249" t="n">
        <v>0</v>
      </c>
      <c r="M249" t="n">
        <v>0</v>
      </c>
      <c r="N249" t="n">
        <v>0</v>
      </c>
      <c r="O249" t="n">
        <v>0</v>
      </c>
      <c r="P249" t="n">
        <v>0</v>
      </c>
      <c r="Q249" t="n">
        <v>0</v>
      </c>
      <c r="R249" s="2" t="inlineStr"/>
    </row>
    <row r="250" ht="15" customHeight="1">
      <c r="A250" t="inlineStr">
        <is>
          <t>A 34242-2023</t>
        </is>
      </c>
      <c r="B250" s="1" t="n">
        <v>45138</v>
      </c>
      <c r="C250" s="1" t="n">
        <v>45877</v>
      </c>
      <c r="D250" t="inlineStr">
        <is>
          <t>GÄVLEBORGS LÄN</t>
        </is>
      </c>
      <c r="E250" t="inlineStr">
        <is>
          <t>HOFORS</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34246-2023</t>
        </is>
      </c>
      <c r="B251" s="1" t="n">
        <v>45138</v>
      </c>
      <c r="C251" s="1" t="n">
        <v>45877</v>
      </c>
      <c r="D251" t="inlineStr">
        <is>
          <t>GÄVLEBORGS LÄN</t>
        </is>
      </c>
      <c r="E251" t="inlineStr">
        <is>
          <t>HOFORS</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34245-2023</t>
        </is>
      </c>
      <c r="B252" s="1" t="n">
        <v>45138</v>
      </c>
      <c r="C252" s="1" t="n">
        <v>45877</v>
      </c>
      <c r="D252" t="inlineStr">
        <is>
          <t>GÄVLEBORGS LÄN</t>
        </is>
      </c>
      <c r="E252" t="inlineStr">
        <is>
          <t>HOFORS</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34247-2023</t>
        </is>
      </c>
      <c r="B253" s="1" t="n">
        <v>45138</v>
      </c>
      <c r="C253" s="1" t="n">
        <v>45877</v>
      </c>
      <c r="D253" t="inlineStr">
        <is>
          <t>GÄVLEBORGS LÄN</t>
        </is>
      </c>
      <c r="E253" t="inlineStr">
        <is>
          <t>HOFORS</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35114-2023</t>
        </is>
      </c>
      <c r="B254" s="1" t="n">
        <v>45145</v>
      </c>
      <c r="C254" s="1" t="n">
        <v>45877</v>
      </c>
      <c r="D254" t="inlineStr">
        <is>
          <t>GÄVLEBORGS LÄN</t>
        </is>
      </c>
      <c r="E254" t="inlineStr">
        <is>
          <t>HOFORS</t>
        </is>
      </c>
      <c r="G254" t="n">
        <v>3</v>
      </c>
      <c r="H254" t="n">
        <v>0</v>
      </c>
      <c r="I254" t="n">
        <v>0</v>
      </c>
      <c r="J254" t="n">
        <v>0</v>
      </c>
      <c r="K254" t="n">
        <v>0</v>
      </c>
      <c r="L254" t="n">
        <v>0</v>
      </c>
      <c r="M254" t="n">
        <v>0</v>
      </c>
      <c r="N254" t="n">
        <v>0</v>
      </c>
      <c r="O254" t="n">
        <v>0</v>
      </c>
      <c r="P254" t="n">
        <v>0</v>
      </c>
      <c r="Q254" t="n">
        <v>0</v>
      </c>
      <c r="R254" s="2" t="inlineStr"/>
    </row>
    <row r="255" ht="15" customHeight="1">
      <c r="A255" t="inlineStr">
        <is>
          <t>A 35118-2023</t>
        </is>
      </c>
      <c r="B255" s="1" t="n">
        <v>45145</v>
      </c>
      <c r="C255" s="1" t="n">
        <v>45877</v>
      </c>
      <c r="D255" t="inlineStr">
        <is>
          <t>GÄVLEBORGS LÄN</t>
        </is>
      </c>
      <c r="E255" t="inlineStr">
        <is>
          <t>HOFORS</t>
        </is>
      </c>
      <c r="G255" t="n">
        <v>3.2</v>
      </c>
      <c r="H255" t="n">
        <v>0</v>
      </c>
      <c r="I255" t="n">
        <v>0</v>
      </c>
      <c r="J255" t="n">
        <v>0</v>
      </c>
      <c r="K255" t="n">
        <v>0</v>
      </c>
      <c r="L255" t="n">
        <v>0</v>
      </c>
      <c r="M255" t="n">
        <v>0</v>
      </c>
      <c r="N255" t="n">
        <v>0</v>
      </c>
      <c r="O255" t="n">
        <v>0</v>
      </c>
      <c r="P255" t="n">
        <v>0</v>
      </c>
      <c r="Q255" t="n">
        <v>0</v>
      </c>
      <c r="R255" s="2" t="inlineStr"/>
    </row>
    <row r="256" ht="15" customHeight="1">
      <c r="A256" t="inlineStr">
        <is>
          <t>A 35107-2023</t>
        </is>
      </c>
      <c r="B256" s="1" t="n">
        <v>45145</v>
      </c>
      <c r="C256" s="1" t="n">
        <v>45877</v>
      </c>
      <c r="D256" t="inlineStr">
        <is>
          <t>GÄVLEBORGS LÄN</t>
        </is>
      </c>
      <c r="E256" t="inlineStr">
        <is>
          <t>HOFORS</t>
        </is>
      </c>
      <c r="G256" t="n">
        <v>8.4</v>
      </c>
      <c r="H256" t="n">
        <v>0</v>
      </c>
      <c r="I256" t="n">
        <v>0</v>
      </c>
      <c r="J256" t="n">
        <v>0</v>
      </c>
      <c r="K256" t="n">
        <v>0</v>
      </c>
      <c r="L256" t="n">
        <v>0</v>
      </c>
      <c r="M256" t="n">
        <v>0</v>
      </c>
      <c r="N256" t="n">
        <v>0</v>
      </c>
      <c r="O256" t="n">
        <v>0</v>
      </c>
      <c r="P256" t="n">
        <v>0</v>
      </c>
      <c r="Q256" t="n">
        <v>0</v>
      </c>
      <c r="R256" s="2" t="inlineStr"/>
    </row>
    <row r="257" ht="15" customHeight="1">
      <c r="A257" t="inlineStr">
        <is>
          <t>A 35136-2023</t>
        </is>
      </c>
      <c r="B257" s="1" t="n">
        <v>45145</v>
      </c>
      <c r="C257" s="1" t="n">
        <v>45877</v>
      </c>
      <c r="D257" t="inlineStr">
        <is>
          <t>GÄVLEBORGS LÄN</t>
        </is>
      </c>
      <c r="E257" t="inlineStr">
        <is>
          <t>HOFORS</t>
        </is>
      </c>
      <c r="G257" t="n">
        <v>2</v>
      </c>
      <c r="H257" t="n">
        <v>0</v>
      </c>
      <c r="I257" t="n">
        <v>0</v>
      </c>
      <c r="J257" t="n">
        <v>0</v>
      </c>
      <c r="K257" t="n">
        <v>0</v>
      </c>
      <c r="L257" t="n">
        <v>0</v>
      </c>
      <c r="M257" t="n">
        <v>0</v>
      </c>
      <c r="N257" t="n">
        <v>0</v>
      </c>
      <c r="O257" t="n">
        <v>0</v>
      </c>
      <c r="P257" t="n">
        <v>0</v>
      </c>
      <c r="Q257" t="n">
        <v>0</v>
      </c>
      <c r="R257" s="2" t="inlineStr"/>
    </row>
    <row r="258" ht="15" customHeight="1">
      <c r="A258" t="inlineStr">
        <is>
          <t>A 35363-2023</t>
        </is>
      </c>
      <c r="B258" s="1" t="n">
        <v>45146</v>
      </c>
      <c r="C258" s="1" t="n">
        <v>45877</v>
      </c>
      <c r="D258" t="inlineStr">
        <is>
          <t>GÄVLEBORGS LÄN</t>
        </is>
      </c>
      <c r="E258" t="inlineStr">
        <is>
          <t>HOFORS</t>
        </is>
      </c>
      <c r="F258" t="inlineStr">
        <is>
          <t>Sveaskog</t>
        </is>
      </c>
      <c r="G258" t="n">
        <v>4.9</v>
      </c>
      <c r="H258" t="n">
        <v>0</v>
      </c>
      <c r="I258" t="n">
        <v>0</v>
      </c>
      <c r="J258" t="n">
        <v>0</v>
      </c>
      <c r="K258" t="n">
        <v>0</v>
      </c>
      <c r="L258" t="n">
        <v>0</v>
      </c>
      <c r="M258" t="n">
        <v>0</v>
      </c>
      <c r="N258" t="n">
        <v>0</v>
      </c>
      <c r="O258" t="n">
        <v>0</v>
      </c>
      <c r="P258" t="n">
        <v>0</v>
      </c>
      <c r="Q258" t="n">
        <v>0</v>
      </c>
      <c r="R258" s="2" t="inlineStr"/>
    </row>
    <row r="259" ht="15" customHeight="1">
      <c r="A259" t="inlineStr">
        <is>
          <t>A 35612-2023</t>
        </is>
      </c>
      <c r="B259" s="1" t="n">
        <v>45147</v>
      </c>
      <c r="C259" s="1" t="n">
        <v>45877</v>
      </c>
      <c r="D259" t="inlineStr">
        <is>
          <t>GÄVLEBORGS LÄN</t>
        </is>
      </c>
      <c r="E259" t="inlineStr">
        <is>
          <t>HOFORS</t>
        </is>
      </c>
      <c r="G259" t="n">
        <v>4.2</v>
      </c>
      <c r="H259" t="n">
        <v>0</v>
      </c>
      <c r="I259" t="n">
        <v>0</v>
      </c>
      <c r="J259" t="n">
        <v>0</v>
      </c>
      <c r="K259" t="n">
        <v>0</v>
      </c>
      <c r="L259" t="n">
        <v>0</v>
      </c>
      <c r="M259" t="n">
        <v>0</v>
      </c>
      <c r="N259" t="n">
        <v>0</v>
      </c>
      <c r="O259" t="n">
        <v>0</v>
      </c>
      <c r="P259" t="n">
        <v>0</v>
      </c>
      <c r="Q259" t="n">
        <v>0</v>
      </c>
      <c r="R259" s="2" t="inlineStr"/>
    </row>
    <row r="260" ht="15" customHeight="1">
      <c r="A260" t="inlineStr">
        <is>
          <t>A 35607-2023</t>
        </is>
      </c>
      <c r="B260" s="1" t="n">
        <v>45147</v>
      </c>
      <c r="C260" s="1" t="n">
        <v>45877</v>
      </c>
      <c r="D260" t="inlineStr">
        <is>
          <t>GÄVLEBORGS LÄN</t>
        </is>
      </c>
      <c r="E260" t="inlineStr">
        <is>
          <t>HOFORS</t>
        </is>
      </c>
      <c r="G260" t="n">
        <v>2.3</v>
      </c>
      <c r="H260" t="n">
        <v>0</v>
      </c>
      <c r="I260" t="n">
        <v>0</v>
      </c>
      <c r="J260" t="n">
        <v>0</v>
      </c>
      <c r="K260" t="n">
        <v>0</v>
      </c>
      <c r="L260" t="n">
        <v>0</v>
      </c>
      <c r="M260" t="n">
        <v>0</v>
      </c>
      <c r="N260" t="n">
        <v>0</v>
      </c>
      <c r="O260" t="n">
        <v>0</v>
      </c>
      <c r="P260" t="n">
        <v>0</v>
      </c>
      <c r="Q260" t="n">
        <v>0</v>
      </c>
      <c r="R260" s="2" t="inlineStr"/>
    </row>
    <row r="261" ht="15" customHeight="1">
      <c r="A261" t="inlineStr">
        <is>
          <t>A 35856-2023</t>
        </is>
      </c>
      <c r="B261" s="1" t="n">
        <v>45148</v>
      </c>
      <c r="C261" s="1" t="n">
        <v>45877</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37763-2023</t>
        </is>
      </c>
      <c r="B262" s="1" t="n">
        <v>45156</v>
      </c>
      <c r="C262" s="1" t="n">
        <v>45877</v>
      </c>
      <c r="D262" t="inlineStr">
        <is>
          <t>GÄVLEBORGS LÄN</t>
        </is>
      </c>
      <c r="E262" t="inlineStr">
        <is>
          <t>HOFORS</t>
        </is>
      </c>
      <c r="G262" t="n">
        <v>2.9</v>
      </c>
      <c r="H262" t="n">
        <v>0</v>
      </c>
      <c r="I262" t="n">
        <v>0</v>
      </c>
      <c r="J262" t="n">
        <v>0</v>
      </c>
      <c r="K262" t="n">
        <v>0</v>
      </c>
      <c r="L262" t="n">
        <v>0</v>
      </c>
      <c r="M262" t="n">
        <v>0</v>
      </c>
      <c r="N262" t="n">
        <v>0</v>
      </c>
      <c r="O262" t="n">
        <v>0</v>
      </c>
      <c r="P262" t="n">
        <v>0</v>
      </c>
      <c r="Q262" t="n">
        <v>0</v>
      </c>
      <c r="R262" s="2" t="inlineStr"/>
    </row>
    <row r="263" ht="15" customHeight="1">
      <c r="A263" t="inlineStr">
        <is>
          <t>A 37689-2023</t>
        </is>
      </c>
      <c r="B263" s="1" t="n">
        <v>45159</v>
      </c>
      <c r="C263" s="1" t="n">
        <v>45877</v>
      </c>
      <c r="D263" t="inlineStr">
        <is>
          <t>GÄVLEBORGS LÄN</t>
        </is>
      </c>
      <c r="E263" t="inlineStr">
        <is>
          <t>HOFORS</t>
        </is>
      </c>
      <c r="G263" t="n">
        <v>2.2</v>
      </c>
      <c r="H263" t="n">
        <v>0</v>
      </c>
      <c r="I263" t="n">
        <v>0</v>
      </c>
      <c r="J263" t="n">
        <v>0</v>
      </c>
      <c r="K263" t="n">
        <v>0</v>
      </c>
      <c r="L263" t="n">
        <v>0</v>
      </c>
      <c r="M263" t="n">
        <v>0</v>
      </c>
      <c r="N263" t="n">
        <v>0</v>
      </c>
      <c r="O263" t="n">
        <v>0</v>
      </c>
      <c r="P263" t="n">
        <v>0</v>
      </c>
      <c r="Q263" t="n">
        <v>0</v>
      </c>
      <c r="R263" s="2" t="inlineStr"/>
    </row>
    <row r="264" ht="15" customHeight="1">
      <c r="A264" t="inlineStr">
        <is>
          <t>A 37693-2023</t>
        </is>
      </c>
      <c r="B264" s="1" t="n">
        <v>45159</v>
      </c>
      <c r="C264" s="1" t="n">
        <v>45877</v>
      </c>
      <c r="D264" t="inlineStr">
        <is>
          <t>GÄVLEBORGS LÄN</t>
        </is>
      </c>
      <c r="E264" t="inlineStr">
        <is>
          <t>HOFORS</t>
        </is>
      </c>
      <c r="G264" t="n">
        <v>0.6</v>
      </c>
      <c r="H264" t="n">
        <v>0</v>
      </c>
      <c r="I264" t="n">
        <v>0</v>
      </c>
      <c r="J264" t="n">
        <v>0</v>
      </c>
      <c r="K264" t="n">
        <v>0</v>
      </c>
      <c r="L264" t="n">
        <v>0</v>
      </c>
      <c r="M264" t="n">
        <v>0</v>
      </c>
      <c r="N264" t="n">
        <v>0</v>
      </c>
      <c r="O264" t="n">
        <v>0</v>
      </c>
      <c r="P264" t="n">
        <v>0</v>
      </c>
      <c r="Q264" t="n">
        <v>0</v>
      </c>
      <c r="R264" s="2" t="inlineStr"/>
    </row>
    <row r="265" ht="15" customHeight="1">
      <c r="A265" t="inlineStr">
        <is>
          <t>A 41020-2023</t>
        </is>
      </c>
      <c r="B265" s="1" t="n">
        <v>45173</v>
      </c>
      <c r="C265" s="1" t="n">
        <v>45877</v>
      </c>
      <c r="D265" t="inlineStr">
        <is>
          <t>GÄVLEBORGS LÄN</t>
        </is>
      </c>
      <c r="E265" t="inlineStr">
        <is>
          <t>HOFORS</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42020-2023</t>
        </is>
      </c>
      <c r="B266" s="1" t="n">
        <v>45177</v>
      </c>
      <c r="C266" s="1" t="n">
        <v>45877</v>
      </c>
      <c r="D266" t="inlineStr">
        <is>
          <t>GÄVLEBORGS LÄN</t>
        </is>
      </c>
      <c r="E266" t="inlineStr">
        <is>
          <t>HOFORS</t>
        </is>
      </c>
      <c r="F266" t="inlineStr">
        <is>
          <t>Sveaskog</t>
        </is>
      </c>
      <c r="G266" t="n">
        <v>13.1</v>
      </c>
      <c r="H266" t="n">
        <v>0</v>
      </c>
      <c r="I266" t="n">
        <v>0</v>
      </c>
      <c r="J266" t="n">
        <v>0</v>
      </c>
      <c r="K266" t="n">
        <v>0</v>
      </c>
      <c r="L266" t="n">
        <v>0</v>
      </c>
      <c r="M266" t="n">
        <v>0</v>
      </c>
      <c r="N266" t="n">
        <v>0</v>
      </c>
      <c r="O266" t="n">
        <v>0</v>
      </c>
      <c r="P266" t="n">
        <v>0</v>
      </c>
      <c r="Q266" t="n">
        <v>0</v>
      </c>
      <c r="R266" s="2" t="inlineStr"/>
    </row>
    <row r="267" ht="15" customHeight="1">
      <c r="A267" t="inlineStr">
        <is>
          <t>A 43318-2023</t>
        </is>
      </c>
      <c r="B267" s="1" t="n">
        <v>45183</v>
      </c>
      <c r="C267" s="1" t="n">
        <v>45877</v>
      </c>
      <c r="D267" t="inlineStr">
        <is>
          <t>GÄVLEBORGS LÄN</t>
        </is>
      </c>
      <c r="E267" t="inlineStr">
        <is>
          <t>HOFORS</t>
        </is>
      </c>
      <c r="G267" t="n">
        <v>1.6</v>
      </c>
      <c r="H267" t="n">
        <v>0</v>
      </c>
      <c r="I267" t="n">
        <v>0</v>
      </c>
      <c r="J267" t="n">
        <v>0</v>
      </c>
      <c r="K267" t="n">
        <v>0</v>
      </c>
      <c r="L267" t="n">
        <v>0</v>
      </c>
      <c r="M267" t="n">
        <v>0</v>
      </c>
      <c r="N267" t="n">
        <v>0</v>
      </c>
      <c r="O267" t="n">
        <v>0</v>
      </c>
      <c r="P267" t="n">
        <v>0</v>
      </c>
      <c r="Q267" t="n">
        <v>0</v>
      </c>
      <c r="R267" s="2" t="inlineStr"/>
    </row>
    <row r="268" ht="15" customHeight="1">
      <c r="A268" t="inlineStr">
        <is>
          <t>A 43726-2023</t>
        </is>
      </c>
      <c r="B268" s="1" t="n">
        <v>45187</v>
      </c>
      <c r="C268" s="1" t="n">
        <v>45877</v>
      </c>
      <c r="D268" t="inlineStr">
        <is>
          <t>GÄVLEBORGS LÄN</t>
        </is>
      </c>
      <c r="E268" t="inlineStr">
        <is>
          <t>HOFORS</t>
        </is>
      </c>
      <c r="F268" t="inlineStr">
        <is>
          <t>Sveaskog</t>
        </is>
      </c>
      <c r="G268" t="n">
        <v>3</v>
      </c>
      <c r="H268" t="n">
        <v>0</v>
      </c>
      <c r="I268" t="n">
        <v>0</v>
      </c>
      <c r="J268" t="n">
        <v>0</v>
      </c>
      <c r="K268" t="n">
        <v>0</v>
      </c>
      <c r="L268" t="n">
        <v>0</v>
      </c>
      <c r="M268" t="n">
        <v>0</v>
      </c>
      <c r="N268" t="n">
        <v>0</v>
      </c>
      <c r="O268" t="n">
        <v>0</v>
      </c>
      <c r="P268" t="n">
        <v>0</v>
      </c>
      <c r="Q268" t="n">
        <v>0</v>
      </c>
      <c r="R268" s="2" t="inlineStr"/>
    </row>
    <row r="269" ht="15" customHeight="1">
      <c r="A269" t="inlineStr">
        <is>
          <t>A 43730-2023</t>
        </is>
      </c>
      <c r="B269" s="1" t="n">
        <v>45187</v>
      </c>
      <c r="C269" s="1" t="n">
        <v>45877</v>
      </c>
      <c r="D269" t="inlineStr">
        <is>
          <t>GÄVLEBORGS LÄN</t>
        </is>
      </c>
      <c r="E269" t="inlineStr">
        <is>
          <t>HOFORS</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44356-2023</t>
        </is>
      </c>
      <c r="B270" s="1" t="n">
        <v>45188</v>
      </c>
      <c r="C270" s="1" t="n">
        <v>45877</v>
      </c>
      <c r="D270" t="inlineStr">
        <is>
          <t>GÄVLEBORGS LÄN</t>
        </is>
      </c>
      <c r="E270" t="inlineStr">
        <is>
          <t>HOFORS</t>
        </is>
      </c>
      <c r="G270" t="n">
        <v>2.1</v>
      </c>
      <c r="H270" t="n">
        <v>0</v>
      </c>
      <c r="I270" t="n">
        <v>0</v>
      </c>
      <c r="J270" t="n">
        <v>0</v>
      </c>
      <c r="K270" t="n">
        <v>0</v>
      </c>
      <c r="L270" t="n">
        <v>0</v>
      </c>
      <c r="M270" t="n">
        <v>0</v>
      </c>
      <c r="N270" t="n">
        <v>0</v>
      </c>
      <c r="O270" t="n">
        <v>0</v>
      </c>
      <c r="P270" t="n">
        <v>0</v>
      </c>
      <c r="Q270" t="n">
        <v>0</v>
      </c>
      <c r="R270" s="2" t="inlineStr"/>
    </row>
    <row r="271" ht="15" customHeight="1">
      <c r="A271" t="inlineStr">
        <is>
          <t>A 47284-2023</t>
        </is>
      </c>
      <c r="B271" s="1" t="n">
        <v>45202</v>
      </c>
      <c r="C271" s="1" t="n">
        <v>45877</v>
      </c>
      <c r="D271" t="inlineStr">
        <is>
          <t>GÄVLEBORGS LÄN</t>
        </is>
      </c>
      <c r="E271" t="inlineStr">
        <is>
          <t>HOFORS</t>
        </is>
      </c>
      <c r="G271" t="n">
        <v>1</v>
      </c>
      <c r="H271" t="n">
        <v>0</v>
      </c>
      <c r="I271" t="n">
        <v>0</v>
      </c>
      <c r="J271" t="n">
        <v>0</v>
      </c>
      <c r="K271" t="n">
        <v>0</v>
      </c>
      <c r="L271" t="n">
        <v>0</v>
      </c>
      <c r="M271" t="n">
        <v>0</v>
      </c>
      <c r="N271" t="n">
        <v>0</v>
      </c>
      <c r="O271" t="n">
        <v>0</v>
      </c>
      <c r="P271" t="n">
        <v>0</v>
      </c>
      <c r="Q271" t="n">
        <v>0</v>
      </c>
      <c r="R271" s="2" t="inlineStr"/>
    </row>
    <row r="272" ht="15" customHeight="1">
      <c r="A272" t="inlineStr">
        <is>
          <t>A 51337-2023</t>
        </is>
      </c>
      <c r="B272" s="1" t="n">
        <v>45219</v>
      </c>
      <c r="C272" s="1" t="n">
        <v>45877</v>
      </c>
      <c r="D272" t="inlineStr">
        <is>
          <t>GÄVLEBORGS LÄN</t>
        </is>
      </c>
      <c r="E272" t="inlineStr">
        <is>
          <t>HOFORS</t>
        </is>
      </c>
      <c r="G272" t="n">
        <v>1</v>
      </c>
      <c r="H272" t="n">
        <v>0</v>
      </c>
      <c r="I272" t="n">
        <v>0</v>
      </c>
      <c r="J272" t="n">
        <v>0</v>
      </c>
      <c r="K272" t="n">
        <v>0</v>
      </c>
      <c r="L272" t="n">
        <v>0</v>
      </c>
      <c r="M272" t="n">
        <v>0</v>
      </c>
      <c r="N272" t="n">
        <v>0</v>
      </c>
      <c r="O272" t="n">
        <v>0</v>
      </c>
      <c r="P272" t="n">
        <v>0</v>
      </c>
      <c r="Q272" t="n">
        <v>0</v>
      </c>
      <c r="R272" s="2" t="inlineStr"/>
    </row>
    <row r="273" ht="15" customHeight="1">
      <c r="A273" t="inlineStr">
        <is>
          <t>A 52934-2023</t>
        </is>
      </c>
      <c r="B273" s="1" t="n">
        <v>45226</v>
      </c>
      <c r="C273" s="1" t="n">
        <v>45877</v>
      </c>
      <c r="D273" t="inlineStr">
        <is>
          <t>GÄVLEBORGS LÄN</t>
        </is>
      </c>
      <c r="E273" t="inlineStr">
        <is>
          <t>HOFORS</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54149-2023</t>
        </is>
      </c>
      <c r="B274" s="1" t="n">
        <v>45232</v>
      </c>
      <c r="C274" s="1" t="n">
        <v>45877</v>
      </c>
      <c r="D274" t="inlineStr">
        <is>
          <t>GÄVLEBORGS LÄN</t>
        </is>
      </c>
      <c r="E274" t="inlineStr">
        <is>
          <t>HOFORS</t>
        </is>
      </c>
      <c r="G274" t="n">
        <v>4.6</v>
      </c>
      <c r="H274" t="n">
        <v>0</v>
      </c>
      <c r="I274" t="n">
        <v>0</v>
      </c>
      <c r="J274" t="n">
        <v>0</v>
      </c>
      <c r="K274" t="n">
        <v>0</v>
      </c>
      <c r="L274" t="n">
        <v>0</v>
      </c>
      <c r="M274" t="n">
        <v>0</v>
      </c>
      <c r="N274" t="n">
        <v>0</v>
      </c>
      <c r="O274" t="n">
        <v>0</v>
      </c>
      <c r="P274" t="n">
        <v>0</v>
      </c>
      <c r="Q274" t="n">
        <v>0</v>
      </c>
      <c r="R274" s="2" t="inlineStr"/>
    </row>
    <row r="275" ht="15" customHeight="1">
      <c r="A275" t="inlineStr">
        <is>
          <t>A 56162-2023</t>
        </is>
      </c>
      <c r="B275" s="1" t="n">
        <v>45240</v>
      </c>
      <c r="C275" s="1" t="n">
        <v>45877</v>
      </c>
      <c r="D275" t="inlineStr">
        <is>
          <t>GÄVLEBORGS LÄN</t>
        </is>
      </c>
      <c r="E275" t="inlineStr">
        <is>
          <t>HOFORS</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56156-2023</t>
        </is>
      </c>
      <c r="B276" s="1" t="n">
        <v>45240</v>
      </c>
      <c r="C276" s="1" t="n">
        <v>45877</v>
      </c>
      <c r="D276" t="inlineStr">
        <is>
          <t>GÄVLEBORGS LÄN</t>
        </is>
      </c>
      <c r="E276" t="inlineStr">
        <is>
          <t>HOFORS</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56117-2023</t>
        </is>
      </c>
      <c r="B277" s="1" t="n">
        <v>45240</v>
      </c>
      <c r="C277" s="1" t="n">
        <v>45877</v>
      </c>
      <c r="D277" t="inlineStr">
        <is>
          <t>GÄVLEBORGS LÄN</t>
        </is>
      </c>
      <c r="E277" t="inlineStr">
        <is>
          <t>HOFORS</t>
        </is>
      </c>
      <c r="G277" t="n">
        <v>2.5</v>
      </c>
      <c r="H277" t="n">
        <v>0</v>
      </c>
      <c r="I277" t="n">
        <v>0</v>
      </c>
      <c r="J277" t="n">
        <v>0</v>
      </c>
      <c r="K277" t="n">
        <v>0</v>
      </c>
      <c r="L277" t="n">
        <v>0</v>
      </c>
      <c r="M277" t="n">
        <v>0</v>
      </c>
      <c r="N277" t="n">
        <v>0</v>
      </c>
      <c r="O277" t="n">
        <v>0</v>
      </c>
      <c r="P277" t="n">
        <v>0</v>
      </c>
      <c r="Q277" t="n">
        <v>0</v>
      </c>
      <c r="R277" s="2" t="inlineStr"/>
    </row>
    <row r="278" ht="15" customHeight="1">
      <c r="A278" t="inlineStr">
        <is>
          <t>A 58369-2023</t>
        </is>
      </c>
      <c r="B278" s="1" t="n">
        <v>45250</v>
      </c>
      <c r="C278" s="1" t="n">
        <v>45877</v>
      </c>
      <c r="D278" t="inlineStr">
        <is>
          <t>GÄVLEBORGS LÄN</t>
        </is>
      </c>
      <c r="E278" t="inlineStr">
        <is>
          <t>HOFORS</t>
        </is>
      </c>
      <c r="G278" t="n">
        <v>2.1</v>
      </c>
      <c r="H278" t="n">
        <v>0</v>
      </c>
      <c r="I278" t="n">
        <v>0</v>
      </c>
      <c r="J278" t="n">
        <v>0</v>
      </c>
      <c r="K278" t="n">
        <v>0</v>
      </c>
      <c r="L278" t="n">
        <v>0</v>
      </c>
      <c r="M278" t="n">
        <v>0</v>
      </c>
      <c r="N278" t="n">
        <v>0</v>
      </c>
      <c r="O278" t="n">
        <v>0</v>
      </c>
      <c r="P278" t="n">
        <v>0</v>
      </c>
      <c r="Q278" t="n">
        <v>0</v>
      </c>
      <c r="R278" s="2" t="inlineStr"/>
    </row>
    <row r="279" ht="15" customHeight="1">
      <c r="A279" t="inlineStr">
        <is>
          <t>A 58373-2023</t>
        </is>
      </c>
      <c r="B279" s="1" t="n">
        <v>45250</v>
      </c>
      <c r="C279" s="1" t="n">
        <v>45877</v>
      </c>
      <c r="D279" t="inlineStr">
        <is>
          <t>GÄVLEBORGS LÄN</t>
        </is>
      </c>
      <c r="E279" t="inlineStr">
        <is>
          <t>HOFORS</t>
        </is>
      </c>
      <c r="G279" t="n">
        <v>0.6</v>
      </c>
      <c r="H279" t="n">
        <v>0</v>
      </c>
      <c r="I279" t="n">
        <v>0</v>
      </c>
      <c r="J279" t="n">
        <v>0</v>
      </c>
      <c r="K279" t="n">
        <v>0</v>
      </c>
      <c r="L279" t="n">
        <v>0</v>
      </c>
      <c r="M279" t="n">
        <v>0</v>
      </c>
      <c r="N279" t="n">
        <v>0</v>
      </c>
      <c r="O279" t="n">
        <v>0</v>
      </c>
      <c r="P279" t="n">
        <v>0</v>
      </c>
      <c r="Q279" t="n">
        <v>0</v>
      </c>
      <c r="R279" s="2" t="inlineStr"/>
    </row>
    <row r="280" ht="15" customHeight="1">
      <c r="A280" t="inlineStr">
        <is>
          <t>A 58955-2023</t>
        </is>
      </c>
      <c r="B280" s="1" t="n">
        <v>45252</v>
      </c>
      <c r="C280" s="1" t="n">
        <v>45877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59009-2023</t>
        </is>
      </c>
      <c r="B281" s="1" t="n">
        <v>45252</v>
      </c>
      <c r="C281" s="1" t="n">
        <v>45877</v>
      </c>
      <c r="D281" t="inlineStr">
        <is>
          <t>GÄVLEBORGS LÄN</t>
        </is>
      </c>
      <c r="E281" t="inlineStr">
        <is>
          <t>HOFORS</t>
        </is>
      </c>
      <c r="F281" t="inlineStr">
        <is>
          <t>Sveaskog</t>
        </is>
      </c>
      <c r="G281" t="n">
        <v>11.6</v>
      </c>
      <c r="H281" t="n">
        <v>0</v>
      </c>
      <c r="I281" t="n">
        <v>0</v>
      </c>
      <c r="J281" t="n">
        <v>0</v>
      </c>
      <c r="K281" t="n">
        <v>0</v>
      </c>
      <c r="L281" t="n">
        <v>0</v>
      </c>
      <c r="M281" t="n">
        <v>0</v>
      </c>
      <c r="N281" t="n">
        <v>0</v>
      </c>
      <c r="O281" t="n">
        <v>0</v>
      </c>
      <c r="P281" t="n">
        <v>0</v>
      </c>
      <c r="Q281" t="n">
        <v>0</v>
      </c>
      <c r="R281" s="2" t="inlineStr"/>
    </row>
    <row r="282" ht="15" customHeight="1">
      <c r="A282" t="inlineStr">
        <is>
          <t>A 59002-2023</t>
        </is>
      </c>
      <c r="B282" s="1" t="n">
        <v>45252</v>
      </c>
      <c r="C282" s="1" t="n">
        <v>45877</v>
      </c>
      <c r="D282" t="inlineStr">
        <is>
          <t>GÄVLEBORGS LÄN</t>
        </is>
      </c>
      <c r="E282" t="inlineStr">
        <is>
          <t>HOFORS</t>
        </is>
      </c>
      <c r="F282" t="inlineStr">
        <is>
          <t>Sveaskog</t>
        </is>
      </c>
      <c r="G282" t="n">
        <v>4.5</v>
      </c>
      <c r="H282" t="n">
        <v>0</v>
      </c>
      <c r="I282" t="n">
        <v>0</v>
      </c>
      <c r="J282" t="n">
        <v>0</v>
      </c>
      <c r="K282" t="n">
        <v>0</v>
      </c>
      <c r="L282" t="n">
        <v>0</v>
      </c>
      <c r="M282" t="n">
        <v>0</v>
      </c>
      <c r="N282" t="n">
        <v>0</v>
      </c>
      <c r="O282" t="n">
        <v>0</v>
      </c>
      <c r="P282" t="n">
        <v>0</v>
      </c>
      <c r="Q282" t="n">
        <v>0</v>
      </c>
      <c r="R282" s="2" t="inlineStr"/>
    </row>
    <row r="283" ht="15" customHeight="1">
      <c r="A283" t="inlineStr">
        <is>
          <t>A 59007-2023</t>
        </is>
      </c>
      <c r="B283" s="1" t="n">
        <v>45252</v>
      </c>
      <c r="C283" s="1" t="n">
        <v>45877</v>
      </c>
      <c r="D283" t="inlineStr">
        <is>
          <t>GÄVLEBORGS LÄN</t>
        </is>
      </c>
      <c r="E283" t="inlineStr">
        <is>
          <t>HOFORS</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59001-2023</t>
        </is>
      </c>
      <c r="B284" s="1" t="n">
        <v>45252</v>
      </c>
      <c r="C284" s="1" t="n">
        <v>45877</v>
      </c>
      <c r="D284" t="inlineStr">
        <is>
          <t>GÄVLEBORGS LÄN</t>
        </is>
      </c>
      <c r="E284" t="inlineStr">
        <is>
          <t>HOFORS</t>
        </is>
      </c>
      <c r="F284" t="inlineStr">
        <is>
          <t>Sveaskog</t>
        </is>
      </c>
      <c r="G284" t="n">
        <v>8.9</v>
      </c>
      <c r="H284" t="n">
        <v>0</v>
      </c>
      <c r="I284" t="n">
        <v>0</v>
      </c>
      <c r="J284" t="n">
        <v>0</v>
      </c>
      <c r="K284" t="n">
        <v>0</v>
      </c>
      <c r="L284" t="n">
        <v>0</v>
      </c>
      <c r="M284" t="n">
        <v>0</v>
      </c>
      <c r="N284" t="n">
        <v>0</v>
      </c>
      <c r="O284" t="n">
        <v>0</v>
      </c>
      <c r="P284" t="n">
        <v>0</v>
      </c>
      <c r="Q284" t="n">
        <v>0</v>
      </c>
      <c r="R284" s="2" t="inlineStr"/>
    </row>
    <row r="285" ht="15" customHeight="1">
      <c r="A285" t="inlineStr">
        <is>
          <t>A 59615-2023</t>
        </is>
      </c>
      <c r="B285" s="1" t="n">
        <v>45254</v>
      </c>
      <c r="C285" s="1" t="n">
        <v>45877</v>
      </c>
      <c r="D285" t="inlineStr">
        <is>
          <t>GÄVLEBORGS LÄN</t>
        </is>
      </c>
      <c r="E285" t="inlineStr">
        <is>
          <t>HOFORS</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59882-2023</t>
        </is>
      </c>
      <c r="B286" s="1" t="n">
        <v>45257</v>
      </c>
      <c r="C286" s="1" t="n">
        <v>45877</v>
      </c>
      <c r="D286" t="inlineStr">
        <is>
          <t>GÄVLEBORGS LÄN</t>
        </is>
      </c>
      <c r="E286" t="inlineStr">
        <is>
          <t>HOFORS</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59886-2023</t>
        </is>
      </c>
      <c r="B287" s="1" t="n">
        <v>45257</v>
      </c>
      <c r="C287" s="1" t="n">
        <v>45877</v>
      </c>
      <c r="D287" t="inlineStr">
        <is>
          <t>GÄVLEBORGS LÄN</t>
        </is>
      </c>
      <c r="E287" t="inlineStr">
        <is>
          <t>HOFORS</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60610-2023</t>
        </is>
      </c>
      <c r="B288" s="1" t="n">
        <v>45260</v>
      </c>
      <c r="C288" s="1" t="n">
        <v>45877</v>
      </c>
      <c r="D288" t="inlineStr">
        <is>
          <t>GÄVLEBORGS LÄN</t>
        </is>
      </c>
      <c r="E288" t="inlineStr">
        <is>
          <t>HOFORS</t>
        </is>
      </c>
      <c r="G288" t="n">
        <v>3.3</v>
      </c>
      <c r="H288" t="n">
        <v>0</v>
      </c>
      <c r="I288" t="n">
        <v>0</v>
      </c>
      <c r="J288" t="n">
        <v>0</v>
      </c>
      <c r="K288" t="n">
        <v>0</v>
      </c>
      <c r="L288" t="n">
        <v>0</v>
      </c>
      <c r="M288" t="n">
        <v>0</v>
      </c>
      <c r="N288" t="n">
        <v>0</v>
      </c>
      <c r="O288" t="n">
        <v>0</v>
      </c>
      <c r="P288" t="n">
        <v>0</v>
      </c>
      <c r="Q288" t="n">
        <v>0</v>
      </c>
      <c r="R288" s="2" t="inlineStr"/>
    </row>
    <row r="289" ht="15" customHeight="1">
      <c r="A289" t="inlineStr">
        <is>
          <t>A 60705-2023</t>
        </is>
      </c>
      <c r="B289" s="1" t="n">
        <v>45260</v>
      </c>
      <c r="C289" s="1" t="n">
        <v>45877</v>
      </c>
      <c r="D289" t="inlineStr">
        <is>
          <t>GÄVLEBORGS LÄN</t>
        </is>
      </c>
      <c r="E289" t="inlineStr">
        <is>
          <t>HOFORS</t>
        </is>
      </c>
      <c r="G289" t="n">
        <v>3.1</v>
      </c>
      <c r="H289" t="n">
        <v>0</v>
      </c>
      <c r="I289" t="n">
        <v>0</v>
      </c>
      <c r="J289" t="n">
        <v>0</v>
      </c>
      <c r="K289" t="n">
        <v>0</v>
      </c>
      <c r="L289" t="n">
        <v>0</v>
      </c>
      <c r="M289" t="n">
        <v>0</v>
      </c>
      <c r="N289" t="n">
        <v>0</v>
      </c>
      <c r="O289" t="n">
        <v>0</v>
      </c>
      <c r="P289" t="n">
        <v>0</v>
      </c>
      <c r="Q289" t="n">
        <v>0</v>
      </c>
      <c r="R289" s="2" t="inlineStr"/>
    </row>
    <row r="290" ht="15" customHeight="1">
      <c r="A290" t="inlineStr">
        <is>
          <t>A 61325-2023</t>
        </is>
      </c>
      <c r="B290" s="1" t="n">
        <v>45264</v>
      </c>
      <c r="C290" s="1" t="n">
        <v>45877</v>
      </c>
      <c r="D290" t="inlineStr">
        <is>
          <t>GÄVLEBORGS LÄN</t>
        </is>
      </c>
      <c r="E290" t="inlineStr">
        <is>
          <t>HOFORS</t>
        </is>
      </c>
      <c r="G290" t="n">
        <v>1.4</v>
      </c>
      <c r="H290" t="n">
        <v>0</v>
      </c>
      <c r="I290" t="n">
        <v>0</v>
      </c>
      <c r="J290" t="n">
        <v>0</v>
      </c>
      <c r="K290" t="n">
        <v>0</v>
      </c>
      <c r="L290" t="n">
        <v>0</v>
      </c>
      <c r="M290" t="n">
        <v>0</v>
      </c>
      <c r="N290" t="n">
        <v>0</v>
      </c>
      <c r="O290" t="n">
        <v>0</v>
      </c>
      <c r="P290" t="n">
        <v>0</v>
      </c>
      <c r="Q290" t="n">
        <v>0</v>
      </c>
      <c r="R290" s="2" t="inlineStr"/>
    </row>
    <row r="291" ht="15" customHeight="1">
      <c r="A291" t="inlineStr">
        <is>
          <t>A 62293-2023</t>
        </is>
      </c>
      <c r="B291" s="1" t="n">
        <v>45267</v>
      </c>
      <c r="C291" s="1" t="n">
        <v>45877</v>
      </c>
      <c r="D291" t="inlineStr">
        <is>
          <t>GÄVLEBORGS LÄN</t>
        </is>
      </c>
      <c r="E291" t="inlineStr">
        <is>
          <t>HOFORS</t>
        </is>
      </c>
      <c r="G291" t="n">
        <v>1.3</v>
      </c>
      <c r="H291" t="n">
        <v>0</v>
      </c>
      <c r="I291" t="n">
        <v>0</v>
      </c>
      <c r="J291" t="n">
        <v>0</v>
      </c>
      <c r="K291" t="n">
        <v>0</v>
      </c>
      <c r="L291" t="n">
        <v>0</v>
      </c>
      <c r="M291" t="n">
        <v>0</v>
      </c>
      <c r="N291" t="n">
        <v>0</v>
      </c>
      <c r="O291" t="n">
        <v>0</v>
      </c>
      <c r="P291" t="n">
        <v>0</v>
      </c>
      <c r="Q291" t="n">
        <v>0</v>
      </c>
      <c r="R291" s="2" t="inlineStr"/>
    </row>
    <row r="292" ht="15" customHeight="1">
      <c r="A292" t="inlineStr">
        <is>
          <t>A 62567-2023</t>
        </is>
      </c>
      <c r="B292" s="1" t="n">
        <v>45269</v>
      </c>
      <c r="C292" s="1" t="n">
        <v>45877</v>
      </c>
      <c r="D292" t="inlineStr">
        <is>
          <t>GÄVLEBORGS LÄN</t>
        </is>
      </c>
      <c r="E292" t="inlineStr">
        <is>
          <t>HOFORS</t>
        </is>
      </c>
      <c r="G292" t="n">
        <v>4.5</v>
      </c>
      <c r="H292" t="n">
        <v>0</v>
      </c>
      <c r="I292" t="n">
        <v>0</v>
      </c>
      <c r="J292" t="n">
        <v>0</v>
      </c>
      <c r="K292" t="n">
        <v>0</v>
      </c>
      <c r="L292" t="n">
        <v>0</v>
      </c>
      <c r="M292" t="n">
        <v>0</v>
      </c>
      <c r="N292" t="n">
        <v>0</v>
      </c>
      <c r="O292" t="n">
        <v>0</v>
      </c>
      <c r="P292" t="n">
        <v>0</v>
      </c>
      <c r="Q292" t="n">
        <v>0</v>
      </c>
      <c r="R292" s="2" t="inlineStr"/>
    </row>
    <row r="293" ht="15" customHeight="1">
      <c r="A293" t="inlineStr">
        <is>
          <t>A 62596-2023</t>
        </is>
      </c>
      <c r="B293" s="1" t="n">
        <v>45271</v>
      </c>
      <c r="C293" s="1" t="n">
        <v>45877</v>
      </c>
      <c r="D293" t="inlineStr">
        <is>
          <t>GÄVLEBORGS LÄN</t>
        </is>
      </c>
      <c r="E293" t="inlineStr">
        <is>
          <t>HOFORS</t>
        </is>
      </c>
      <c r="G293" t="n">
        <v>3.6</v>
      </c>
      <c r="H293" t="n">
        <v>0</v>
      </c>
      <c r="I293" t="n">
        <v>0</v>
      </c>
      <c r="J293" t="n">
        <v>0</v>
      </c>
      <c r="K293" t="n">
        <v>0</v>
      </c>
      <c r="L293" t="n">
        <v>0</v>
      </c>
      <c r="M293" t="n">
        <v>0</v>
      </c>
      <c r="N293" t="n">
        <v>0</v>
      </c>
      <c r="O293" t="n">
        <v>0</v>
      </c>
      <c r="P293" t="n">
        <v>0</v>
      </c>
      <c r="Q293" t="n">
        <v>0</v>
      </c>
      <c r="R293" s="2" t="inlineStr"/>
    </row>
    <row r="294" ht="15" customHeight="1">
      <c r="A294" t="inlineStr">
        <is>
          <t>A 64359-2023</t>
        </is>
      </c>
      <c r="B294" s="1" t="n">
        <v>45280</v>
      </c>
      <c r="C294" s="1" t="n">
        <v>45877</v>
      </c>
      <c r="D294" t="inlineStr">
        <is>
          <t>GÄVLEBORGS LÄN</t>
        </is>
      </c>
      <c r="E294" t="inlineStr">
        <is>
          <t>HOFORS</t>
        </is>
      </c>
      <c r="G294" t="n">
        <v>4.7</v>
      </c>
      <c r="H294" t="n">
        <v>0</v>
      </c>
      <c r="I294" t="n">
        <v>0</v>
      </c>
      <c r="J294" t="n">
        <v>0</v>
      </c>
      <c r="K294" t="n">
        <v>0</v>
      </c>
      <c r="L294" t="n">
        <v>0</v>
      </c>
      <c r="M294" t="n">
        <v>0</v>
      </c>
      <c r="N294" t="n">
        <v>0</v>
      </c>
      <c r="O294" t="n">
        <v>0</v>
      </c>
      <c r="P294" t="n">
        <v>0</v>
      </c>
      <c r="Q294" t="n">
        <v>0</v>
      </c>
      <c r="R294" s="2" t="inlineStr"/>
    </row>
    <row r="295" ht="15" customHeight="1">
      <c r="A295" t="inlineStr">
        <is>
          <t>A 64629-2023</t>
        </is>
      </c>
      <c r="B295" s="1" t="n">
        <v>45281</v>
      </c>
      <c r="C295" s="1" t="n">
        <v>45877</v>
      </c>
      <c r="D295" t="inlineStr">
        <is>
          <t>GÄVLEBORGS LÄN</t>
        </is>
      </c>
      <c r="E295" t="inlineStr">
        <is>
          <t>HOFORS</t>
        </is>
      </c>
      <c r="G295" t="n">
        <v>5.1</v>
      </c>
      <c r="H295" t="n">
        <v>0</v>
      </c>
      <c r="I295" t="n">
        <v>0</v>
      </c>
      <c r="J295" t="n">
        <v>0</v>
      </c>
      <c r="K295" t="n">
        <v>0</v>
      </c>
      <c r="L295" t="n">
        <v>0</v>
      </c>
      <c r="M295" t="n">
        <v>0</v>
      </c>
      <c r="N295" t="n">
        <v>0</v>
      </c>
      <c r="O295" t="n">
        <v>0</v>
      </c>
      <c r="P295" t="n">
        <v>0</v>
      </c>
      <c r="Q295" t="n">
        <v>0</v>
      </c>
      <c r="R295" s="2" t="inlineStr"/>
    </row>
    <row r="296" ht="15" customHeight="1">
      <c r="A296" t="inlineStr">
        <is>
          <t>A 118-2024</t>
        </is>
      </c>
      <c r="B296" s="1" t="n">
        <v>45294</v>
      </c>
      <c r="C296" s="1" t="n">
        <v>45877</v>
      </c>
      <c r="D296" t="inlineStr">
        <is>
          <t>GÄVLEBORGS LÄN</t>
        </is>
      </c>
      <c r="E296" t="inlineStr">
        <is>
          <t>HOFORS</t>
        </is>
      </c>
      <c r="F296" t="inlineStr">
        <is>
          <t>Sveaskog</t>
        </is>
      </c>
      <c r="G296" t="n">
        <v>6.9</v>
      </c>
      <c r="H296" t="n">
        <v>0</v>
      </c>
      <c r="I296" t="n">
        <v>0</v>
      </c>
      <c r="J296" t="n">
        <v>0</v>
      </c>
      <c r="K296" t="n">
        <v>0</v>
      </c>
      <c r="L296" t="n">
        <v>0</v>
      </c>
      <c r="M296" t="n">
        <v>0</v>
      </c>
      <c r="N296" t="n">
        <v>0</v>
      </c>
      <c r="O296" t="n">
        <v>0</v>
      </c>
      <c r="P296" t="n">
        <v>0</v>
      </c>
      <c r="Q296" t="n">
        <v>0</v>
      </c>
      <c r="R296" s="2" t="inlineStr"/>
    </row>
    <row r="297" ht="15" customHeight="1">
      <c r="A297" t="inlineStr">
        <is>
          <t>A 127-2024</t>
        </is>
      </c>
      <c r="B297" s="1" t="n">
        <v>45294</v>
      </c>
      <c r="C297" s="1" t="n">
        <v>45877</v>
      </c>
      <c r="D297" t="inlineStr">
        <is>
          <t>GÄVLEBORGS LÄN</t>
        </is>
      </c>
      <c r="E297" t="inlineStr">
        <is>
          <t>HOFORS</t>
        </is>
      </c>
      <c r="F297" t="inlineStr">
        <is>
          <t>Sveaskog</t>
        </is>
      </c>
      <c r="G297" t="n">
        <v>20.4</v>
      </c>
      <c r="H297" t="n">
        <v>0</v>
      </c>
      <c r="I297" t="n">
        <v>0</v>
      </c>
      <c r="J297" t="n">
        <v>0</v>
      </c>
      <c r="K297" t="n">
        <v>0</v>
      </c>
      <c r="L297" t="n">
        <v>0</v>
      </c>
      <c r="M297" t="n">
        <v>0</v>
      </c>
      <c r="N297" t="n">
        <v>0</v>
      </c>
      <c r="O297" t="n">
        <v>0</v>
      </c>
      <c r="P297" t="n">
        <v>0</v>
      </c>
      <c r="Q297" t="n">
        <v>0</v>
      </c>
      <c r="R297" s="2" t="inlineStr"/>
    </row>
    <row r="298" ht="15" customHeight="1">
      <c r="A298" t="inlineStr">
        <is>
          <t>A 1151-2024</t>
        </is>
      </c>
      <c r="B298" s="1" t="n">
        <v>45302</v>
      </c>
      <c r="C298" s="1" t="n">
        <v>45877</v>
      </c>
      <c r="D298" t="inlineStr">
        <is>
          <t>GÄVLEBORGS LÄN</t>
        </is>
      </c>
      <c r="E298" t="inlineStr">
        <is>
          <t>HOFORS</t>
        </is>
      </c>
      <c r="G298" t="n">
        <v>1.3</v>
      </c>
      <c r="H298" t="n">
        <v>0</v>
      </c>
      <c r="I298" t="n">
        <v>0</v>
      </c>
      <c r="J298" t="n">
        <v>0</v>
      </c>
      <c r="K298" t="n">
        <v>0</v>
      </c>
      <c r="L298" t="n">
        <v>0</v>
      </c>
      <c r="M298" t="n">
        <v>0</v>
      </c>
      <c r="N298" t="n">
        <v>0</v>
      </c>
      <c r="O298" t="n">
        <v>0</v>
      </c>
      <c r="P298" t="n">
        <v>0</v>
      </c>
      <c r="Q298" t="n">
        <v>0</v>
      </c>
      <c r="R298" s="2" t="inlineStr"/>
    </row>
    <row r="299" ht="15" customHeight="1">
      <c r="A299" t="inlineStr">
        <is>
          <t>A 1155-2024</t>
        </is>
      </c>
      <c r="B299" s="1" t="n">
        <v>45302</v>
      </c>
      <c r="C299" s="1" t="n">
        <v>45877</v>
      </c>
      <c r="D299" t="inlineStr">
        <is>
          <t>GÄVLEBORGS LÄN</t>
        </is>
      </c>
      <c r="E299" t="inlineStr">
        <is>
          <t>HOFORS</t>
        </is>
      </c>
      <c r="G299" t="n">
        <v>1.9</v>
      </c>
      <c r="H299" t="n">
        <v>0</v>
      </c>
      <c r="I299" t="n">
        <v>0</v>
      </c>
      <c r="J299" t="n">
        <v>0</v>
      </c>
      <c r="K299" t="n">
        <v>0</v>
      </c>
      <c r="L299" t="n">
        <v>0</v>
      </c>
      <c r="M299" t="n">
        <v>0</v>
      </c>
      <c r="N299" t="n">
        <v>0</v>
      </c>
      <c r="O299" t="n">
        <v>0</v>
      </c>
      <c r="P299" t="n">
        <v>0</v>
      </c>
      <c r="Q299" t="n">
        <v>0</v>
      </c>
      <c r="R299" s="2" t="inlineStr"/>
    </row>
    <row r="300" ht="15" customHeight="1">
      <c r="A300" t="inlineStr">
        <is>
          <t>A 1149-2024</t>
        </is>
      </c>
      <c r="B300" s="1" t="n">
        <v>45302</v>
      </c>
      <c r="C300" s="1" t="n">
        <v>45877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1144-2024</t>
        </is>
      </c>
      <c r="B301" s="1" t="n">
        <v>45302</v>
      </c>
      <c r="C301" s="1" t="n">
        <v>45877</v>
      </c>
      <c r="D301" t="inlineStr">
        <is>
          <t>GÄVLEBORGS LÄN</t>
        </is>
      </c>
      <c r="E301" t="inlineStr">
        <is>
          <t>HOFORS</t>
        </is>
      </c>
      <c r="G301" t="n">
        <v>0.9</v>
      </c>
      <c r="H301" t="n">
        <v>0</v>
      </c>
      <c r="I301" t="n">
        <v>0</v>
      </c>
      <c r="J301" t="n">
        <v>0</v>
      </c>
      <c r="K301" t="n">
        <v>0</v>
      </c>
      <c r="L301" t="n">
        <v>0</v>
      </c>
      <c r="M301" t="n">
        <v>0</v>
      </c>
      <c r="N301" t="n">
        <v>0</v>
      </c>
      <c r="O301" t="n">
        <v>0</v>
      </c>
      <c r="P301" t="n">
        <v>0</v>
      </c>
      <c r="Q301" t="n">
        <v>0</v>
      </c>
      <c r="R301" s="2" t="inlineStr"/>
    </row>
    <row r="302" ht="15" customHeight="1">
      <c r="A302" t="inlineStr">
        <is>
          <t>A 1606-2024</t>
        </is>
      </c>
      <c r="B302" s="1" t="n">
        <v>45306</v>
      </c>
      <c r="C302" s="1" t="n">
        <v>45877</v>
      </c>
      <c r="D302" t="inlineStr">
        <is>
          <t>GÄVLEBORGS LÄN</t>
        </is>
      </c>
      <c r="E302" t="inlineStr">
        <is>
          <t>HOFORS</t>
        </is>
      </c>
      <c r="G302" t="n">
        <v>4.2</v>
      </c>
      <c r="H302" t="n">
        <v>0</v>
      </c>
      <c r="I302" t="n">
        <v>0</v>
      </c>
      <c r="J302" t="n">
        <v>0</v>
      </c>
      <c r="K302" t="n">
        <v>0</v>
      </c>
      <c r="L302" t="n">
        <v>0</v>
      </c>
      <c r="M302" t="n">
        <v>0</v>
      </c>
      <c r="N302" t="n">
        <v>0</v>
      </c>
      <c r="O302" t="n">
        <v>0</v>
      </c>
      <c r="P302" t="n">
        <v>0</v>
      </c>
      <c r="Q302" t="n">
        <v>0</v>
      </c>
      <c r="R302" s="2" t="inlineStr"/>
    </row>
    <row r="303" ht="15" customHeight="1">
      <c r="A303" t="inlineStr">
        <is>
          <t>A 1805-2024</t>
        </is>
      </c>
      <c r="B303" s="1" t="n">
        <v>45307</v>
      </c>
      <c r="C303" s="1" t="n">
        <v>45877</v>
      </c>
      <c r="D303" t="inlineStr">
        <is>
          <t>GÄVLEBORGS LÄN</t>
        </is>
      </c>
      <c r="E303" t="inlineStr">
        <is>
          <t>HOFORS</t>
        </is>
      </c>
      <c r="G303" t="n">
        <v>1.1</v>
      </c>
      <c r="H303" t="n">
        <v>0</v>
      </c>
      <c r="I303" t="n">
        <v>0</v>
      </c>
      <c r="J303" t="n">
        <v>0</v>
      </c>
      <c r="K303" t="n">
        <v>0</v>
      </c>
      <c r="L303" t="n">
        <v>0</v>
      </c>
      <c r="M303" t="n">
        <v>0</v>
      </c>
      <c r="N303" t="n">
        <v>0</v>
      </c>
      <c r="O303" t="n">
        <v>0</v>
      </c>
      <c r="P303" t="n">
        <v>0</v>
      </c>
      <c r="Q303" t="n">
        <v>0</v>
      </c>
      <c r="R303" s="2" t="inlineStr"/>
    </row>
    <row r="304" ht="15" customHeight="1">
      <c r="A304" t="inlineStr">
        <is>
          <t>A 1893-2024</t>
        </is>
      </c>
      <c r="B304" s="1" t="n">
        <v>45308</v>
      </c>
      <c r="C304" s="1" t="n">
        <v>45877</v>
      </c>
      <c r="D304" t="inlineStr">
        <is>
          <t>GÄVLEBORGS LÄN</t>
        </is>
      </c>
      <c r="E304" t="inlineStr">
        <is>
          <t>HOFORS</t>
        </is>
      </c>
      <c r="G304" t="n">
        <v>1</v>
      </c>
      <c r="H304" t="n">
        <v>0</v>
      </c>
      <c r="I304" t="n">
        <v>0</v>
      </c>
      <c r="J304" t="n">
        <v>0</v>
      </c>
      <c r="K304" t="n">
        <v>0</v>
      </c>
      <c r="L304" t="n">
        <v>0</v>
      </c>
      <c r="M304" t="n">
        <v>0</v>
      </c>
      <c r="N304" t="n">
        <v>0</v>
      </c>
      <c r="O304" t="n">
        <v>0</v>
      </c>
      <c r="P304" t="n">
        <v>0</v>
      </c>
      <c r="Q304" t="n">
        <v>0</v>
      </c>
      <c r="R304" s="2" t="inlineStr"/>
    </row>
    <row r="305" ht="15" customHeight="1">
      <c r="A305" t="inlineStr">
        <is>
          <t>A 5554-2024</t>
        </is>
      </c>
      <c r="B305" s="1" t="n">
        <v>45334</v>
      </c>
      <c r="C305" s="1" t="n">
        <v>45877</v>
      </c>
      <c r="D305" t="inlineStr">
        <is>
          <t>GÄVLEBORGS LÄN</t>
        </is>
      </c>
      <c r="E305" t="inlineStr">
        <is>
          <t>HOFORS</t>
        </is>
      </c>
      <c r="G305" t="n">
        <v>1</v>
      </c>
      <c r="H305" t="n">
        <v>0</v>
      </c>
      <c r="I305" t="n">
        <v>0</v>
      </c>
      <c r="J305" t="n">
        <v>0</v>
      </c>
      <c r="K305" t="n">
        <v>0</v>
      </c>
      <c r="L305" t="n">
        <v>0</v>
      </c>
      <c r="M305" t="n">
        <v>0</v>
      </c>
      <c r="N305" t="n">
        <v>0</v>
      </c>
      <c r="O305" t="n">
        <v>0</v>
      </c>
      <c r="P305" t="n">
        <v>0</v>
      </c>
      <c r="Q305" t="n">
        <v>0</v>
      </c>
      <c r="R305" s="2" t="inlineStr"/>
    </row>
    <row r="306" ht="15" customHeight="1">
      <c r="A306" t="inlineStr">
        <is>
          <t>A 6958-2024</t>
        </is>
      </c>
      <c r="B306" s="1" t="n">
        <v>45343</v>
      </c>
      <c r="C306" s="1" t="n">
        <v>45877</v>
      </c>
      <c r="D306" t="inlineStr">
        <is>
          <t>GÄVLEBORGS LÄN</t>
        </is>
      </c>
      <c r="E306" t="inlineStr">
        <is>
          <t>HOFORS</t>
        </is>
      </c>
      <c r="G306" t="n">
        <v>3.4</v>
      </c>
      <c r="H306" t="n">
        <v>0</v>
      </c>
      <c r="I306" t="n">
        <v>0</v>
      </c>
      <c r="J306" t="n">
        <v>0</v>
      </c>
      <c r="K306" t="n">
        <v>0</v>
      </c>
      <c r="L306" t="n">
        <v>0</v>
      </c>
      <c r="M306" t="n">
        <v>0</v>
      </c>
      <c r="N306" t="n">
        <v>0</v>
      </c>
      <c r="O306" t="n">
        <v>0</v>
      </c>
      <c r="P306" t="n">
        <v>0</v>
      </c>
      <c r="Q306" t="n">
        <v>0</v>
      </c>
      <c r="R306" s="2" t="inlineStr"/>
    </row>
    <row r="307" ht="15" customHeight="1">
      <c r="A307" t="inlineStr">
        <is>
          <t>A 6963-2024</t>
        </is>
      </c>
      <c r="B307" s="1" t="n">
        <v>45343</v>
      </c>
      <c r="C307" s="1" t="n">
        <v>45877</v>
      </c>
      <c r="D307" t="inlineStr">
        <is>
          <t>GÄVLEBORGS LÄN</t>
        </is>
      </c>
      <c r="E307" t="inlineStr">
        <is>
          <t>HOFORS</t>
        </is>
      </c>
      <c r="G307" t="n">
        <v>2.4</v>
      </c>
      <c r="H307" t="n">
        <v>0</v>
      </c>
      <c r="I307" t="n">
        <v>0</v>
      </c>
      <c r="J307" t="n">
        <v>0</v>
      </c>
      <c r="K307" t="n">
        <v>0</v>
      </c>
      <c r="L307" t="n">
        <v>0</v>
      </c>
      <c r="M307" t="n">
        <v>0</v>
      </c>
      <c r="N307" t="n">
        <v>0</v>
      </c>
      <c r="O307" t="n">
        <v>0</v>
      </c>
      <c r="P307" t="n">
        <v>0</v>
      </c>
      <c r="Q307" t="n">
        <v>0</v>
      </c>
      <c r="R307" s="2" t="inlineStr"/>
    </row>
    <row r="308" ht="15" customHeight="1">
      <c r="A308" t="inlineStr">
        <is>
          <t>A 7563-2024</t>
        </is>
      </c>
      <c r="B308" s="1" t="n">
        <v>45348</v>
      </c>
      <c r="C308" s="1" t="n">
        <v>45877</v>
      </c>
      <c r="D308" t="inlineStr">
        <is>
          <t>GÄVLEBORGS LÄN</t>
        </is>
      </c>
      <c r="E308" t="inlineStr">
        <is>
          <t>HOFORS</t>
        </is>
      </c>
      <c r="G308" t="n">
        <v>10.8</v>
      </c>
      <c r="H308" t="n">
        <v>0</v>
      </c>
      <c r="I308" t="n">
        <v>0</v>
      </c>
      <c r="J308" t="n">
        <v>0</v>
      </c>
      <c r="K308" t="n">
        <v>0</v>
      </c>
      <c r="L308" t="n">
        <v>0</v>
      </c>
      <c r="M308" t="n">
        <v>0</v>
      </c>
      <c r="N308" t="n">
        <v>0</v>
      </c>
      <c r="O308" t="n">
        <v>0</v>
      </c>
      <c r="P308" t="n">
        <v>0</v>
      </c>
      <c r="Q308" t="n">
        <v>0</v>
      </c>
      <c r="R308" s="2" t="inlineStr"/>
    </row>
    <row r="309" ht="15" customHeight="1">
      <c r="A309" t="inlineStr">
        <is>
          <t>A 7547-2024</t>
        </is>
      </c>
      <c r="B309" s="1" t="n">
        <v>45348</v>
      </c>
      <c r="C309" s="1" t="n">
        <v>45877</v>
      </c>
      <c r="D309" t="inlineStr">
        <is>
          <t>GÄVLEBORGS LÄN</t>
        </is>
      </c>
      <c r="E309" t="inlineStr">
        <is>
          <t>HOFORS</t>
        </is>
      </c>
      <c r="G309" t="n">
        <v>3.8</v>
      </c>
      <c r="H309" t="n">
        <v>0</v>
      </c>
      <c r="I309" t="n">
        <v>0</v>
      </c>
      <c r="J309" t="n">
        <v>0</v>
      </c>
      <c r="K309" t="n">
        <v>0</v>
      </c>
      <c r="L309" t="n">
        <v>0</v>
      </c>
      <c r="M309" t="n">
        <v>0</v>
      </c>
      <c r="N309" t="n">
        <v>0</v>
      </c>
      <c r="O309" t="n">
        <v>0</v>
      </c>
      <c r="P309" t="n">
        <v>0</v>
      </c>
      <c r="Q309" t="n">
        <v>0</v>
      </c>
      <c r="R309" s="2" t="inlineStr"/>
    </row>
    <row r="310" ht="15" customHeight="1">
      <c r="A310" t="inlineStr">
        <is>
          <t>A 11818-2024</t>
        </is>
      </c>
      <c r="B310" s="1" t="n">
        <v>45376</v>
      </c>
      <c r="C310" s="1" t="n">
        <v>45877</v>
      </c>
      <c r="D310" t="inlineStr">
        <is>
          <t>GÄVLEBORGS LÄN</t>
        </is>
      </c>
      <c r="E310" t="inlineStr">
        <is>
          <t>HOFORS</t>
        </is>
      </c>
      <c r="G310" t="n">
        <v>3.8</v>
      </c>
      <c r="H310" t="n">
        <v>0</v>
      </c>
      <c r="I310" t="n">
        <v>0</v>
      </c>
      <c r="J310" t="n">
        <v>0</v>
      </c>
      <c r="K310" t="n">
        <v>0</v>
      </c>
      <c r="L310" t="n">
        <v>0</v>
      </c>
      <c r="M310" t="n">
        <v>0</v>
      </c>
      <c r="N310" t="n">
        <v>0</v>
      </c>
      <c r="O310" t="n">
        <v>0</v>
      </c>
      <c r="P310" t="n">
        <v>0</v>
      </c>
      <c r="Q310" t="n">
        <v>0</v>
      </c>
      <c r="R310" s="2" t="inlineStr"/>
    </row>
    <row r="311" ht="15" customHeight="1">
      <c r="A311" t="inlineStr">
        <is>
          <t>A 11813-2024</t>
        </is>
      </c>
      <c r="B311" s="1" t="n">
        <v>45376</v>
      </c>
      <c r="C311" s="1" t="n">
        <v>45877</v>
      </c>
      <c r="D311" t="inlineStr">
        <is>
          <t>GÄVLEBORGS LÄN</t>
        </is>
      </c>
      <c r="E311" t="inlineStr">
        <is>
          <t>HOFORS</t>
        </is>
      </c>
      <c r="G311" t="n">
        <v>2.3</v>
      </c>
      <c r="H311" t="n">
        <v>0</v>
      </c>
      <c r="I311" t="n">
        <v>0</v>
      </c>
      <c r="J311" t="n">
        <v>0</v>
      </c>
      <c r="K311" t="n">
        <v>0</v>
      </c>
      <c r="L311" t="n">
        <v>0</v>
      </c>
      <c r="M311" t="n">
        <v>0</v>
      </c>
      <c r="N311" t="n">
        <v>0</v>
      </c>
      <c r="O311" t="n">
        <v>0</v>
      </c>
      <c r="P311" t="n">
        <v>0</v>
      </c>
      <c r="Q311" t="n">
        <v>0</v>
      </c>
      <c r="R311" s="2" t="inlineStr"/>
    </row>
    <row r="312" ht="15" customHeight="1">
      <c r="A312" t="inlineStr">
        <is>
          <t>A 13473-2024</t>
        </is>
      </c>
      <c r="B312" s="1" t="n">
        <v>45387</v>
      </c>
      <c r="C312" s="1" t="n">
        <v>45877</v>
      </c>
      <c r="D312" t="inlineStr">
        <is>
          <t>GÄVLEBORGS LÄN</t>
        </is>
      </c>
      <c r="E312" t="inlineStr">
        <is>
          <t>HOFORS</t>
        </is>
      </c>
      <c r="G312" t="n">
        <v>1.8</v>
      </c>
      <c r="H312" t="n">
        <v>0</v>
      </c>
      <c r="I312" t="n">
        <v>0</v>
      </c>
      <c r="J312" t="n">
        <v>0</v>
      </c>
      <c r="K312" t="n">
        <v>0</v>
      </c>
      <c r="L312" t="n">
        <v>0</v>
      </c>
      <c r="M312" t="n">
        <v>0</v>
      </c>
      <c r="N312" t="n">
        <v>0</v>
      </c>
      <c r="O312" t="n">
        <v>0</v>
      </c>
      <c r="P312" t="n">
        <v>0</v>
      </c>
      <c r="Q312" t="n">
        <v>0</v>
      </c>
      <c r="R312" s="2" t="inlineStr"/>
    </row>
    <row r="313" ht="15" customHeight="1">
      <c r="A313" t="inlineStr">
        <is>
          <t>A 13471-2024</t>
        </is>
      </c>
      <c r="B313" s="1" t="n">
        <v>45387</v>
      </c>
      <c r="C313" s="1" t="n">
        <v>45877</v>
      </c>
      <c r="D313" t="inlineStr">
        <is>
          <t>GÄVLEBORGS LÄN</t>
        </is>
      </c>
      <c r="E313" t="inlineStr">
        <is>
          <t>HOFORS</t>
        </is>
      </c>
      <c r="G313" t="n">
        <v>2.9</v>
      </c>
      <c r="H313" t="n">
        <v>0</v>
      </c>
      <c r="I313" t="n">
        <v>0</v>
      </c>
      <c r="J313" t="n">
        <v>0</v>
      </c>
      <c r="K313" t="n">
        <v>0</v>
      </c>
      <c r="L313" t="n">
        <v>0</v>
      </c>
      <c r="M313" t="n">
        <v>0</v>
      </c>
      <c r="N313" t="n">
        <v>0</v>
      </c>
      <c r="O313" t="n">
        <v>0</v>
      </c>
      <c r="P313" t="n">
        <v>0</v>
      </c>
      <c r="Q313" t="n">
        <v>0</v>
      </c>
      <c r="R313" s="2" t="inlineStr"/>
    </row>
    <row r="314" ht="15" customHeight="1">
      <c r="A314" t="inlineStr">
        <is>
          <t>A 15484-2024</t>
        </is>
      </c>
      <c r="B314" s="1" t="n">
        <v>45401</v>
      </c>
      <c r="C314" s="1" t="n">
        <v>45877</v>
      </c>
      <c r="D314" t="inlineStr">
        <is>
          <t>GÄVLEBORGS LÄN</t>
        </is>
      </c>
      <c r="E314" t="inlineStr">
        <is>
          <t>HOFORS</t>
        </is>
      </c>
      <c r="F314" t="inlineStr">
        <is>
          <t>Sveaskog</t>
        </is>
      </c>
      <c r="G314" t="n">
        <v>11.6</v>
      </c>
      <c r="H314" t="n">
        <v>0</v>
      </c>
      <c r="I314" t="n">
        <v>0</v>
      </c>
      <c r="J314" t="n">
        <v>0</v>
      </c>
      <c r="K314" t="n">
        <v>0</v>
      </c>
      <c r="L314" t="n">
        <v>0</v>
      </c>
      <c r="M314" t="n">
        <v>0</v>
      </c>
      <c r="N314" t="n">
        <v>0</v>
      </c>
      <c r="O314" t="n">
        <v>0</v>
      </c>
      <c r="P314" t="n">
        <v>0</v>
      </c>
      <c r="Q314" t="n">
        <v>0</v>
      </c>
      <c r="R314" s="2" t="inlineStr"/>
    </row>
    <row r="315" ht="15" customHeight="1">
      <c r="A315" t="inlineStr">
        <is>
          <t>A 16137-2024</t>
        </is>
      </c>
      <c r="B315" s="1" t="n">
        <v>45406</v>
      </c>
      <c r="C315" s="1" t="n">
        <v>45877</v>
      </c>
      <c r="D315" t="inlineStr">
        <is>
          <t>GÄVLEBORGS LÄN</t>
        </is>
      </c>
      <c r="E315" t="inlineStr">
        <is>
          <t>HOFORS</t>
        </is>
      </c>
      <c r="G315" t="n">
        <v>6</v>
      </c>
      <c r="H315" t="n">
        <v>0</v>
      </c>
      <c r="I315" t="n">
        <v>0</v>
      </c>
      <c r="J315" t="n">
        <v>0</v>
      </c>
      <c r="K315" t="n">
        <v>0</v>
      </c>
      <c r="L315" t="n">
        <v>0</v>
      </c>
      <c r="M315" t="n">
        <v>0</v>
      </c>
      <c r="N315" t="n">
        <v>0</v>
      </c>
      <c r="O315" t="n">
        <v>0</v>
      </c>
      <c r="P315" t="n">
        <v>0</v>
      </c>
      <c r="Q315" t="n">
        <v>0</v>
      </c>
      <c r="R315" s="2" t="inlineStr"/>
    </row>
    <row r="316" ht="15" customHeight="1">
      <c r="A316" t="inlineStr">
        <is>
          <t>A 16135-2024</t>
        </is>
      </c>
      <c r="B316" s="1" t="n">
        <v>45406</v>
      </c>
      <c r="C316" s="1" t="n">
        <v>45877</v>
      </c>
      <c r="D316" t="inlineStr">
        <is>
          <t>GÄVLEBORGS LÄN</t>
        </is>
      </c>
      <c r="E316" t="inlineStr">
        <is>
          <t>HOFORS</t>
        </is>
      </c>
      <c r="G316" t="n">
        <v>2.4</v>
      </c>
      <c r="H316" t="n">
        <v>0</v>
      </c>
      <c r="I316" t="n">
        <v>0</v>
      </c>
      <c r="J316" t="n">
        <v>0</v>
      </c>
      <c r="K316" t="n">
        <v>0</v>
      </c>
      <c r="L316" t="n">
        <v>0</v>
      </c>
      <c r="M316" t="n">
        <v>0</v>
      </c>
      <c r="N316" t="n">
        <v>0</v>
      </c>
      <c r="O316" t="n">
        <v>0</v>
      </c>
      <c r="P316" t="n">
        <v>0</v>
      </c>
      <c r="Q316" t="n">
        <v>0</v>
      </c>
      <c r="R316" s="2" t="inlineStr"/>
    </row>
    <row r="317" ht="15" customHeight="1">
      <c r="A317" t="inlineStr">
        <is>
          <t>A 16147-2024</t>
        </is>
      </c>
      <c r="B317" s="1" t="n">
        <v>45406</v>
      </c>
      <c r="C317" s="1" t="n">
        <v>45877</v>
      </c>
      <c r="D317" t="inlineStr">
        <is>
          <t>GÄVLEBORGS LÄN</t>
        </is>
      </c>
      <c r="E317" t="inlineStr">
        <is>
          <t>HOFORS</t>
        </is>
      </c>
      <c r="G317" t="n">
        <v>1.4</v>
      </c>
      <c r="H317" t="n">
        <v>0</v>
      </c>
      <c r="I317" t="n">
        <v>0</v>
      </c>
      <c r="J317" t="n">
        <v>0</v>
      </c>
      <c r="K317" t="n">
        <v>0</v>
      </c>
      <c r="L317" t="n">
        <v>0</v>
      </c>
      <c r="M317" t="n">
        <v>0</v>
      </c>
      <c r="N317" t="n">
        <v>0</v>
      </c>
      <c r="O317" t="n">
        <v>0</v>
      </c>
      <c r="P317" t="n">
        <v>0</v>
      </c>
      <c r="Q317" t="n">
        <v>0</v>
      </c>
      <c r="R317" s="2" t="inlineStr"/>
    </row>
    <row r="318" ht="15" customHeight="1">
      <c r="A318" t="inlineStr">
        <is>
          <t>A 18709-2024</t>
        </is>
      </c>
      <c r="B318" s="1" t="n">
        <v>45426</v>
      </c>
      <c r="C318" s="1" t="n">
        <v>45877</v>
      </c>
      <c r="D318" t="inlineStr">
        <is>
          <t>GÄVLEBORGS LÄN</t>
        </is>
      </c>
      <c r="E318" t="inlineStr">
        <is>
          <t>HOFORS</t>
        </is>
      </c>
      <c r="G318" t="n">
        <v>2.2</v>
      </c>
      <c r="H318" t="n">
        <v>0</v>
      </c>
      <c r="I318" t="n">
        <v>0</v>
      </c>
      <c r="J318" t="n">
        <v>0</v>
      </c>
      <c r="K318" t="n">
        <v>0</v>
      </c>
      <c r="L318" t="n">
        <v>0</v>
      </c>
      <c r="M318" t="n">
        <v>0</v>
      </c>
      <c r="N318" t="n">
        <v>0</v>
      </c>
      <c r="O318" t="n">
        <v>0</v>
      </c>
      <c r="P318" t="n">
        <v>0</v>
      </c>
      <c r="Q318" t="n">
        <v>0</v>
      </c>
      <c r="R318" s="2" t="inlineStr"/>
    </row>
    <row r="319" ht="15" customHeight="1">
      <c r="A319" t="inlineStr">
        <is>
          <t>A 18963-2024</t>
        </is>
      </c>
      <c r="B319" s="1" t="n">
        <v>45427</v>
      </c>
      <c r="C319" s="1" t="n">
        <v>45877</v>
      </c>
      <c r="D319" t="inlineStr">
        <is>
          <t>GÄVLEBORGS LÄN</t>
        </is>
      </c>
      <c r="E319" t="inlineStr">
        <is>
          <t>HOFORS</t>
        </is>
      </c>
      <c r="G319" t="n">
        <v>1.6</v>
      </c>
      <c r="H319" t="n">
        <v>0</v>
      </c>
      <c r="I319" t="n">
        <v>0</v>
      </c>
      <c r="J319" t="n">
        <v>0</v>
      </c>
      <c r="K319" t="n">
        <v>0</v>
      </c>
      <c r="L319" t="n">
        <v>0</v>
      </c>
      <c r="M319" t="n">
        <v>0</v>
      </c>
      <c r="N319" t="n">
        <v>0</v>
      </c>
      <c r="O319" t="n">
        <v>0</v>
      </c>
      <c r="P319" t="n">
        <v>0</v>
      </c>
      <c r="Q319" t="n">
        <v>0</v>
      </c>
      <c r="R319" s="2" t="inlineStr"/>
    </row>
    <row r="320" ht="15" customHeight="1">
      <c r="A320" t="inlineStr">
        <is>
          <t>A 20191-2024</t>
        </is>
      </c>
      <c r="B320" s="1" t="n">
        <v>45434</v>
      </c>
      <c r="C320" s="1" t="n">
        <v>45877</v>
      </c>
      <c r="D320" t="inlineStr">
        <is>
          <t>GÄVLEBORGS LÄN</t>
        </is>
      </c>
      <c r="E320" t="inlineStr">
        <is>
          <t>HOFORS</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21019-2024</t>
        </is>
      </c>
      <c r="B321" s="1" t="n">
        <v>45439</v>
      </c>
      <c r="C321" s="1" t="n">
        <v>45877</v>
      </c>
      <c r="D321" t="inlineStr">
        <is>
          <t>GÄVLEBORGS LÄN</t>
        </is>
      </c>
      <c r="E321" t="inlineStr">
        <is>
          <t>HOFORS</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21027-2024</t>
        </is>
      </c>
      <c r="B322" s="1" t="n">
        <v>45439</v>
      </c>
      <c r="C322" s="1" t="n">
        <v>45877</v>
      </c>
      <c r="D322" t="inlineStr">
        <is>
          <t>GÄVLEBORGS LÄN</t>
        </is>
      </c>
      <c r="E322" t="inlineStr">
        <is>
          <t>HOFORS</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21039-2024</t>
        </is>
      </c>
      <c r="B323" s="1" t="n">
        <v>45439</v>
      </c>
      <c r="C323" s="1" t="n">
        <v>45877</v>
      </c>
      <c r="D323" t="inlineStr">
        <is>
          <t>GÄVLEBORGS LÄN</t>
        </is>
      </c>
      <c r="E323" t="inlineStr">
        <is>
          <t>HOFORS</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21028-2024</t>
        </is>
      </c>
      <c r="B324" s="1" t="n">
        <v>45439</v>
      </c>
      <c r="C324" s="1" t="n">
        <v>45877</v>
      </c>
      <c r="D324" t="inlineStr">
        <is>
          <t>GÄVLEBORGS LÄN</t>
        </is>
      </c>
      <c r="E324" t="inlineStr">
        <is>
          <t>HOFORS</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21254-2024</t>
        </is>
      </c>
      <c r="B325" s="1" t="n">
        <v>45440</v>
      </c>
      <c r="C325" s="1" t="n">
        <v>45877</v>
      </c>
      <c r="D325" t="inlineStr">
        <is>
          <t>GÄVLEBORGS LÄN</t>
        </is>
      </c>
      <c r="E325" t="inlineStr">
        <is>
          <t>HOFORS</t>
        </is>
      </c>
      <c r="G325" t="n">
        <v>4.3</v>
      </c>
      <c r="H325" t="n">
        <v>0</v>
      </c>
      <c r="I325" t="n">
        <v>0</v>
      </c>
      <c r="J325" t="n">
        <v>0</v>
      </c>
      <c r="K325" t="n">
        <v>0</v>
      </c>
      <c r="L325" t="n">
        <v>0</v>
      </c>
      <c r="M325" t="n">
        <v>0</v>
      </c>
      <c r="N325" t="n">
        <v>0</v>
      </c>
      <c r="O325" t="n">
        <v>0</v>
      </c>
      <c r="P325" t="n">
        <v>0</v>
      </c>
      <c r="Q325" t="n">
        <v>0</v>
      </c>
      <c r="R325" s="2" t="inlineStr"/>
    </row>
    <row r="326" ht="15" customHeight="1">
      <c r="A326" t="inlineStr">
        <is>
          <t>A 21750-2024</t>
        </is>
      </c>
      <c r="B326" s="1" t="n">
        <v>45442</v>
      </c>
      <c r="C326" s="1" t="n">
        <v>45877</v>
      </c>
      <c r="D326" t="inlineStr">
        <is>
          <t>GÄVLEBORGS LÄN</t>
        </is>
      </c>
      <c r="E326" t="inlineStr">
        <is>
          <t>HOFORS</t>
        </is>
      </c>
      <c r="G326" t="n">
        <v>3.7</v>
      </c>
      <c r="H326" t="n">
        <v>0</v>
      </c>
      <c r="I326" t="n">
        <v>0</v>
      </c>
      <c r="J326" t="n">
        <v>0</v>
      </c>
      <c r="K326" t="n">
        <v>0</v>
      </c>
      <c r="L326" t="n">
        <v>0</v>
      </c>
      <c r="M326" t="n">
        <v>0</v>
      </c>
      <c r="N326" t="n">
        <v>0</v>
      </c>
      <c r="O326" t="n">
        <v>0</v>
      </c>
      <c r="P326" t="n">
        <v>0</v>
      </c>
      <c r="Q326" t="n">
        <v>0</v>
      </c>
      <c r="R326" s="2" t="inlineStr"/>
    </row>
    <row r="327" ht="15" customHeight="1">
      <c r="A327" t="inlineStr">
        <is>
          <t>A 21751-2024</t>
        </is>
      </c>
      <c r="B327" s="1" t="n">
        <v>45442</v>
      </c>
      <c r="C327" s="1" t="n">
        <v>45877</v>
      </c>
      <c r="D327" t="inlineStr">
        <is>
          <t>GÄVLEBORGS LÄN</t>
        </is>
      </c>
      <c r="E327" t="inlineStr">
        <is>
          <t>HOFORS</t>
        </is>
      </c>
      <c r="G327" t="n">
        <v>4.1</v>
      </c>
      <c r="H327" t="n">
        <v>0</v>
      </c>
      <c r="I327" t="n">
        <v>0</v>
      </c>
      <c r="J327" t="n">
        <v>0</v>
      </c>
      <c r="K327" t="n">
        <v>0</v>
      </c>
      <c r="L327" t="n">
        <v>0</v>
      </c>
      <c r="M327" t="n">
        <v>0</v>
      </c>
      <c r="N327" t="n">
        <v>0</v>
      </c>
      <c r="O327" t="n">
        <v>0</v>
      </c>
      <c r="P327" t="n">
        <v>0</v>
      </c>
      <c r="Q327" t="n">
        <v>0</v>
      </c>
      <c r="R327" s="2" t="inlineStr"/>
    </row>
    <row r="328" ht="15" customHeight="1">
      <c r="A328" t="inlineStr">
        <is>
          <t>A 21958-2024</t>
        </is>
      </c>
      <c r="B328" s="1" t="n">
        <v>45443</v>
      </c>
      <c r="C328" s="1" t="n">
        <v>45877</v>
      </c>
      <c r="D328" t="inlineStr">
        <is>
          <t>GÄVLEBORGS LÄN</t>
        </is>
      </c>
      <c r="E328" t="inlineStr">
        <is>
          <t>HOFORS</t>
        </is>
      </c>
      <c r="G328" t="n">
        <v>6.1</v>
      </c>
      <c r="H328" t="n">
        <v>0</v>
      </c>
      <c r="I328" t="n">
        <v>0</v>
      </c>
      <c r="J328" t="n">
        <v>0</v>
      </c>
      <c r="K328" t="n">
        <v>0</v>
      </c>
      <c r="L328" t="n">
        <v>0</v>
      </c>
      <c r="M328" t="n">
        <v>0</v>
      </c>
      <c r="N328" t="n">
        <v>0</v>
      </c>
      <c r="O328" t="n">
        <v>0</v>
      </c>
      <c r="P328" t="n">
        <v>0</v>
      </c>
      <c r="Q328" t="n">
        <v>0</v>
      </c>
      <c r="R328" s="2" t="inlineStr"/>
    </row>
    <row r="329" ht="15" customHeight="1">
      <c r="A329" t="inlineStr">
        <is>
          <t>A 22226-2024</t>
        </is>
      </c>
      <c r="B329" s="1" t="n">
        <v>45446</v>
      </c>
      <c r="C329" s="1" t="n">
        <v>45877</v>
      </c>
      <c r="D329" t="inlineStr">
        <is>
          <t>GÄVLEBORGS LÄN</t>
        </is>
      </c>
      <c r="E329" t="inlineStr">
        <is>
          <t>HOFORS</t>
        </is>
      </c>
      <c r="G329" t="n">
        <v>0.6</v>
      </c>
      <c r="H329" t="n">
        <v>0</v>
      </c>
      <c r="I329" t="n">
        <v>0</v>
      </c>
      <c r="J329" t="n">
        <v>0</v>
      </c>
      <c r="K329" t="n">
        <v>0</v>
      </c>
      <c r="L329" t="n">
        <v>0</v>
      </c>
      <c r="M329" t="n">
        <v>0</v>
      </c>
      <c r="N329" t="n">
        <v>0</v>
      </c>
      <c r="O329" t="n">
        <v>0</v>
      </c>
      <c r="P329" t="n">
        <v>0</v>
      </c>
      <c r="Q329" t="n">
        <v>0</v>
      </c>
      <c r="R329" s="2" t="inlineStr"/>
    </row>
    <row r="330" ht="15" customHeight="1">
      <c r="A330" t="inlineStr">
        <is>
          <t>A 22530-2024</t>
        </is>
      </c>
      <c r="B330" s="1" t="n">
        <v>45447</v>
      </c>
      <c r="C330" s="1" t="n">
        <v>45877</v>
      </c>
      <c r="D330" t="inlineStr">
        <is>
          <t>GÄVLEBORGS LÄN</t>
        </is>
      </c>
      <c r="E330" t="inlineStr">
        <is>
          <t>HOFORS</t>
        </is>
      </c>
      <c r="G330" t="n">
        <v>1.3</v>
      </c>
      <c r="H330" t="n">
        <v>0</v>
      </c>
      <c r="I330" t="n">
        <v>0</v>
      </c>
      <c r="J330" t="n">
        <v>0</v>
      </c>
      <c r="K330" t="n">
        <v>0</v>
      </c>
      <c r="L330" t="n">
        <v>0</v>
      </c>
      <c r="M330" t="n">
        <v>0</v>
      </c>
      <c r="N330" t="n">
        <v>0</v>
      </c>
      <c r="O330" t="n">
        <v>0</v>
      </c>
      <c r="P330" t="n">
        <v>0</v>
      </c>
      <c r="Q330" t="n">
        <v>0</v>
      </c>
      <c r="R330" s="2" t="inlineStr"/>
    </row>
    <row r="331" ht="15" customHeight="1">
      <c r="A331" t="inlineStr">
        <is>
          <t>A 23376-2024</t>
        </is>
      </c>
      <c r="B331" s="1" t="n">
        <v>45453</v>
      </c>
      <c r="C331" s="1" t="n">
        <v>45877</v>
      </c>
      <c r="D331" t="inlineStr">
        <is>
          <t>GÄVLEBORGS LÄN</t>
        </is>
      </c>
      <c r="E331" t="inlineStr">
        <is>
          <t>HOFORS</t>
        </is>
      </c>
      <c r="F331" t="inlineStr">
        <is>
          <t>Sveaskog</t>
        </is>
      </c>
      <c r="G331" t="n">
        <v>10.8</v>
      </c>
      <c r="H331" t="n">
        <v>0</v>
      </c>
      <c r="I331" t="n">
        <v>0</v>
      </c>
      <c r="J331" t="n">
        <v>0</v>
      </c>
      <c r="K331" t="n">
        <v>0</v>
      </c>
      <c r="L331" t="n">
        <v>0</v>
      </c>
      <c r="M331" t="n">
        <v>0</v>
      </c>
      <c r="N331" t="n">
        <v>0</v>
      </c>
      <c r="O331" t="n">
        <v>0</v>
      </c>
      <c r="P331" t="n">
        <v>0</v>
      </c>
      <c r="Q331" t="n">
        <v>0</v>
      </c>
      <c r="R331" s="2" t="inlineStr"/>
    </row>
    <row r="332" ht="15" customHeight="1">
      <c r="A332" t="inlineStr">
        <is>
          <t>A 23355-2024</t>
        </is>
      </c>
      <c r="B332" s="1" t="n">
        <v>45453</v>
      </c>
      <c r="C332" s="1" t="n">
        <v>45877</v>
      </c>
      <c r="D332" t="inlineStr">
        <is>
          <t>GÄVLEBORGS LÄN</t>
        </is>
      </c>
      <c r="E332" t="inlineStr">
        <is>
          <t>HOFORS</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23891-2024</t>
        </is>
      </c>
      <c r="B333" s="1" t="n">
        <v>45455</v>
      </c>
      <c r="C333" s="1" t="n">
        <v>45877</v>
      </c>
      <c r="D333" t="inlineStr">
        <is>
          <t>GÄVLEBORGS LÄN</t>
        </is>
      </c>
      <c r="E333" t="inlineStr">
        <is>
          <t>HOFORS</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24008-2024</t>
        </is>
      </c>
      <c r="B334" s="1" t="n">
        <v>45456</v>
      </c>
      <c r="C334" s="1" t="n">
        <v>45877</v>
      </c>
      <c r="D334" t="inlineStr">
        <is>
          <t>GÄVLEBORGS LÄN</t>
        </is>
      </c>
      <c r="E334" t="inlineStr">
        <is>
          <t>HOFORS</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25476-2024</t>
        </is>
      </c>
      <c r="B335" s="1" t="n">
        <v>45463</v>
      </c>
      <c r="C335" s="1" t="n">
        <v>45877</v>
      </c>
      <c r="D335" t="inlineStr">
        <is>
          <t>GÄVLEBORGS LÄN</t>
        </is>
      </c>
      <c r="E335" t="inlineStr">
        <is>
          <t>HOFORS</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25474-2024</t>
        </is>
      </c>
      <c r="B336" s="1" t="n">
        <v>45463</v>
      </c>
      <c r="C336" s="1" t="n">
        <v>45877</v>
      </c>
      <c r="D336" t="inlineStr">
        <is>
          <t>GÄVLEBORGS LÄN</t>
        </is>
      </c>
      <c r="E336" t="inlineStr">
        <is>
          <t>HOFORS</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25477-2024</t>
        </is>
      </c>
      <c r="B337" s="1" t="n">
        <v>45463</v>
      </c>
      <c r="C337" s="1" t="n">
        <v>45877</v>
      </c>
      <c r="D337" t="inlineStr">
        <is>
          <t>GÄVLEBORGS LÄN</t>
        </is>
      </c>
      <c r="E337" t="inlineStr">
        <is>
          <t>HOFORS</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25465-2024</t>
        </is>
      </c>
      <c r="B338" s="1" t="n">
        <v>45463</v>
      </c>
      <c r="C338" s="1" t="n">
        <v>45877</v>
      </c>
      <c r="D338" t="inlineStr">
        <is>
          <t>GÄVLEBORGS LÄN</t>
        </is>
      </c>
      <c r="E338" t="inlineStr">
        <is>
          <t>HOFORS</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26306-2024</t>
        </is>
      </c>
      <c r="B339" s="1" t="n">
        <v>45469</v>
      </c>
      <c r="C339" s="1" t="n">
        <v>45877</v>
      </c>
      <c r="D339" t="inlineStr">
        <is>
          <t>GÄVLEBORGS LÄN</t>
        </is>
      </c>
      <c r="E339" t="inlineStr">
        <is>
          <t>HOFORS</t>
        </is>
      </c>
      <c r="G339" t="n">
        <v>3.8</v>
      </c>
      <c r="H339" t="n">
        <v>0</v>
      </c>
      <c r="I339" t="n">
        <v>0</v>
      </c>
      <c r="J339" t="n">
        <v>0</v>
      </c>
      <c r="K339" t="n">
        <v>0</v>
      </c>
      <c r="L339" t="n">
        <v>0</v>
      </c>
      <c r="M339" t="n">
        <v>0</v>
      </c>
      <c r="N339" t="n">
        <v>0</v>
      </c>
      <c r="O339" t="n">
        <v>0</v>
      </c>
      <c r="P339" t="n">
        <v>0</v>
      </c>
      <c r="Q339" t="n">
        <v>0</v>
      </c>
      <c r="R339" s="2" t="inlineStr"/>
    </row>
    <row r="340" ht="15" customHeight="1">
      <c r="A340" t="inlineStr">
        <is>
          <t>A 26307-2024</t>
        </is>
      </c>
      <c r="B340" s="1" t="n">
        <v>45469</v>
      </c>
      <c r="C340" s="1" t="n">
        <v>45877</v>
      </c>
      <c r="D340" t="inlineStr">
        <is>
          <t>GÄVLEBORGS LÄN</t>
        </is>
      </c>
      <c r="E340" t="inlineStr">
        <is>
          <t>HOFORS</t>
        </is>
      </c>
      <c r="G340" t="n">
        <v>4.2</v>
      </c>
      <c r="H340" t="n">
        <v>0</v>
      </c>
      <c r="I340" t="n">
        <v>0</v>
      </c>
      <c r="J340" t="n">
        <v>0</v>
      </c>
      <c r="K340" t="n">
        <v>0</v>
      </c>
      <c r="L340" t="n">
        <v>0</v>
      </c>
      <c r="M340" t="n">
        <v>0</v>
      </c>
      <c r="N340" t="n">
        <v>0</v>
      </c>
      <c r="O340" t="n">
        <v>0</v>
      </c>
      <c r="P340" t="n">
        <v>0</v>
      </c>
      <c r="Q340" t="n">
        <v>0</v>
      </c>
      <c r="R340" s="2" t="inlineStr"/>
    </row>
    <row r="341" ht="15" customHeight="1">
      <c r="A341" t="inlineStr">
        <is>
          <t>A 26308-2024</t>
        </is>
      </c>
      <c r="B341" s="1" t="n">
        <v>45469</v>
      </c>
      <c r="C341" s="1" t="n">
        <v>45877</v>
      </c>
      <c r="D341" t="inlineStr">
        <is>
          <t>GÄVLEBORGS LÄN</t>
        </is>
      </c>
      <c r="E341" t="inlineStr">
        <is>
          <t>HOFORS</t>
        </is>
      </c>
      <c r="G341" t="n">
        <v>5.3</v>
      </c>
      <c r="H341" t="n">
        <v>0</v>
      </c>
      <c r="I341" t="n">
        <v>0</v>
      </c>
      <c r="J341" t="n">
        <v>0</v>
      </c>
      <c r="K341" t="n">
        <v>0</v>
      </c>
      <c r="L341" t="n">
        <v>0</v>
      </c>
      <c r="M341" t="n">
        <v>0</v>
      </c>
      <c r="N341" t="n">
        <v>0</v>
      </c>
      <c r="O341" t="n">
        <v>0</v>
      </c>
      <c r="P341" t="n">
        <v>0</v>
      </c>
      <c r="Q341" t="n">
        <v>0</v>
      </c>
      <c r="R341" s="2" t="inlineStr"/>
    </row>
    <row r="342" ht="15" customHeight="1">
      <c r="A342" t="inlineStr">
        <is>
          <t>A 27731-2024</t>
        </is>
      </c>
      <c r="B342" s="1" t="n">
        <v>45475</v>
      </c>
      <c r="C342" s="1" t="n">
        <v>45877</v>
      </c>
      <c r="D342" t="inlineStr">
        <is>
          <t>GÄVLEBORGS LÄN</t>
        </is>
      </c>
      <c r="E342" t="inlineStr">
        <is>
          <t>HOFORS</t>
        </is>
      </c>
      <c r="F342" t="inlineStr">
        <is>
          <t>Bergvik skog öst AB</t>
        </is>
      </c>
      <c r="G342" t="n">
        <v>4.5</v>
      </c>
      <c r="H342" t="n">
        <v>0</v>
      </c>
      <c r="I342" t="n">
        <v>0</v>
      </c>
      <c r="J342" t="n">
        <v>0</v>
      </c>
      <c r="K342" t="n">
        <v>0</v>
      </c>
      <c r="L342" t="n">
        <v>0</v>
      </c>
      <c r="M342" t="n">
        <v>0</v>
      </c>
      <c r="N342" t="n">
        <v>0</v>
      </c>
      <c r="O342" t="n">
        <v>0</v>
      </c>
      <c r="P342" t="n">
        <v>0</v>
      </c>
      <c r="Q342" t="n">
        <v>0</v>
      </c>
      <c r="R342" s="2" t="inlineStr"/>
    </row>
    <row r="343" ht="15" customHeight="1">
      <c r="A343" t="inlineStr">
        <is>
          <t>A 27738-2024</t>
        </is>
      </c>
      <c r="B343" s="1" t="n">
        <v>45475</v>
      </c>
      <c r="C343" s="1" t="n">
        <v>45877</v>
      </c>
      <c r="D343" t="inlineStr">
        <is>
          <t>GÄVLEBORGS LÄN</t>
        </is>
      </c>
      <c r="E343" t="inlineStr">
        <is>
          <t>HOFORS</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27734-2024</t>
        </is>
      </c>
      <c r="B344" s="1" t="n">
        <v>45475</v>
      </c>
      <c r="C344" s="1" t="n">
        <v>45877</v>
      </c>
      <c r="D344" t="inlineStr">
        <is>
          <t>GÄVLEBORGS LÄN</t>
        </is>
      </c>
      <c r="E344" t="inlineStr">
        <is>
          <t>HOFORS</t>
        </is>
      </c>
      <c r="F344" t="inlineStr">
        <is>
          <t>Bergvik skog öst AB</t>
        </is>
      </c>
      <c r="G344" t="n">
        <v>7.2</v>
      </c>
      <c r="H344" t="n">
        <v>0</v>
      </c>
      <c r="I344" t="n">
        <v>0</v>
      </c>
      <c r="J344" t="n">
        <v>0</v>
      </c>
      <c r="K344" t="n">
        <v>0</v>
      </c>
      <c r="L344" t="n">
        <v>0</v>
      </c>
      <c r="M344" t="n">
        <v>0</v>
      </c>
      <c r="N344" t="n">
        <v>0</v>
      </c>
      <c r="O344" t="n">
        <v>0</v>
      </c>
      <c r="P344" t="n">
        <v>0</v>
      </c>
      <c r="Q344" t="n">
        <v>0</v>
      </c>
      <c r="R344" s="2" t="inlineStr"/>
    </row>
    <row r="345" ht="15" customHeight="1">
      <c r="A345" t="inlineStr">
        <is>
          <t>A 27880-2024</t>
        </is>
      </c>
      <c r="B345" s="1" t="n">
        <v>45475</v>
      </c>
      <c r="C345" s="1" t="n">
        <v>45877</v>
      </c>
      <c r="D345" t="inlineStr">
        <is>
          <t>GÄVLEBORGS LÄN</t>
        </is>
      </c>
      <c r="E345" t="inlineStr">
        <is>
          <t>HOFORS</t>
        </is>
      </c>
      <c r="G345" t="n">
        <v>3.1</v>
      </c>
      <c r="H345" t="n">
        <v>0</v>
      </c>
      <c r="I345" t="n">
        <v>0</v>
      </c>
      <c r="J345" t="n">
        <v>0</v>
      </c>
      <c r="K345" t="n">
        <v>0</v>
      </c>
      <c r="L345" t="n">
        <v>0</v>
      </c>
      <c r="M345" t="n">
        <v>0</v>
      </c>
      <c r="N345" t="n">
        <v>0</v>
      </c>
      <c r="O345" t="n">
        <v>0</v>
      </c>
      <c r="P345" t="n">
        <v>0</v>
      </c>
      <c r="Q345" t="n">
        <v>0</v>
      </c>
      <c r="R345" s="2" t="inlineStr"/>
    </row>
    <row r="346" ht="15" customHeight="1">
      <c r="A346" t="inlineStr">
        <is>
          <t>A 28018-2024</t>
        </is>
      </c>
      <c r="B346" s="1" t="n">
        <v>45476</v>
      </c>
      <c r="C346" s="1" t="n">
        <v>45877</v>
      </c>
      <c r="D346" t="inlineStr">
        <is>
          <t>GÄVLEBORGS LÄN</t>
        </is>
      </c>
      <c r="E346" t="inlineStr">
        <is>
          <t>HOFORS</t>
        </is>
      </c>
      <c r="G346" t="n">
        <v>7.9</v>
      </c>
      <c r="H346" t="n">
        <v>0</v>
      </c>
      <c r="I346" t="n">
        <v>0</v>
      </c>
      <c r="J346" t="n">
        <v>0</v>
      </c>
      <c r="K346" t="n">
        <v>0</v>
      </c>
      <c r="L346" t="n">
        <v>0</v>
      </c>
      <c r="M346" t="n">
        <v>0</v>
      </c>
      <c r="N346" t="n">
        <v>0</v>
      </c>
      <c r="O346" t="n">
        <v>0</v>
      </c>
      <c r="P346" t="n">
        <v>0</v>
      </c>
      <c r="Q346" t="n">
        <v>0</v>
      </c>
      <c r="R346" s="2" t="inlineStr"/>
    </row>
    <row r="347" ht="15" customHeight="1">
      <c r="A347" t="inlineStr">
        <is>
          <t>A 28133-2024</t>
        </is>
      </c>
      <c r="B347" s="1" t="n">
        <v>45476</v>
      </c>
      <c r="C347" s="1" t="n">
        <v>45877</v>
      </c>
      <c r="D347" t="inlineStr">
        <is>
          <t>GÄVLEBORGS LÄN</t>
        </is>
      </c>
      <c r="E347" t="inlineStr">
        <is>
          <t>HOFORS</t>
        </is>
      </c>
      <c r="G347" t="n">
        <v>3.8</v>
      </c>
      <c r="H347" t="n">
        <v>0</v>
      </c>
      <c r="I347" t="n">
        <v>0</v>
      </c>
      <c r="J347" t="n">
        <v>0</v>
      </c>
      <c r="K347" t="n">
        <v>0</v>
      </c>
      <c r="L347" t="n">
        <v>0</v>
      </c>
      <c r="M347" t="n">
        <v>0</v>
      </c>
      <c r="N347" t="n">
        <v>0</v>
      </c>
      <c r="O347" t="n">
        <v>0</v>
      </c>
      <c r="P347" t="n">
        <v>0</v>
      </c>
      <c r="Q347" t="n">
        <v>0</v>
      </c>
      <c r="R347" s="2" t="inlineStr"/>
    </row>
    <row r="348" ht="15" customHeight="1">
      <c r="A348" t="inlineStr">
        <is>
          <t>A 28023-2024</t>
        </is>
      </c>
      <c r="B348" s="1" t="n">
        <v>45476</v>
      </c>
      <c r="C348" s="1" t="n">
        <v>45877</v>
      </c>
      <c r="D348" t="inlineStr">
        <is>
          <t>GÄVLEBORGS LÄN</t>
        </is>
      </c>
      <c r="E348" t="inlineStr">
        <is>
          <t>HOFORS</t>
        </is>
      </c>
      <c r="G348" t="n">
        <v>0.7</v>
      </c>
      <c r="H348" t="n">
        <v>0</v>
      </c>
      <c r="I348" t="n">
        <v>0</v>
      </c>
      <c r="J348" t="n">
        <v>0</v>
      </c>
      <c r="K348" t="n">
        <v>0</v>
      </c>
      <c r="L348" t="n">
        <v>0</v>
      </c>
      <c r="M348" t="n">
        <v>0</v>
      </c>
      <c r="N348" t="n">
        <v>0</v>
      </c>
      <c r="O348" t="n">
        <v>0</v>
      </c>
      <c r="P348" t="n">
        <v>0</v>
      </c>
      <c r="Q348" t="n">
        <v>0</v>
      </c>
      <c r="R348" s="2" t="inlineStr"/>
    </row>
    <row r="349" ht="15" customHeight="1">
      <c r="A349" t="inlineStr">
        <is>
          <t>A 28021-2024</t>
        </is>
      </c>
      <c r="B349" s="1" t="n">
        <v>45476</v>
      </c>
      <c r="C349" s="1" t="n">
        <v>45877</v>
      </c>
      <c r="D349" t="inlineStr">
        <is>
          <t>GÄVLEBORGS LÄN</t>
        </is>
      </c>
      <c r="E349" t="inlineStr">
        <is>
          <t>HOFORS</t>
        </is>
      </c>
      <c r="G349" t="n">
        <v>0.6</v>
      </c>
      <c r="H349" t="n">
        <v>0</v>
      </c>
      <c r="I349" t="n">
        <v>0</v>
      </c>
      <c r="J349" t="n">
        <v>0</v>
      </c>
      <c r="K349" t="n">
        <v>0</v>
      </c>
      <c r="L349" t="n">
        <v>0</v>
      </c>
      <c r="M349" t="n">
        <v>0</v>
      </c>
      <c r="N349" t="n">
        <v>0</v>
      </c>
      <c r="O349" t="n">
        <v>0</v>
      </c>
      <c r="P349" t="n">
        <v>0</v>
      </c>
      <c r="Q349" t="n">
        <v>0</v>
      </c>
      <c r="R349" s="2" t="inlineStr"/>
    </row>
    <row r="350" ht="15" customHeight="1">
      <c r="A350" t="inlineStr">
        <is>
          <t>A 28391-2024</t>
        </is>
      </c>
      <c r="B350" s="1" t="n">
        <v>45477</v>
      </c>
      <c r="C350" s="1" t="n">
        <v>45877</v>
      </c>
      <c r="D350" t="inlineStr">
        <is>
          <t>GÄVLEBORGS LÄN</t>
        </is>
      </c>
      <c r="E350" t="inlineStr">
        <is>
          <t>HOFORS</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28534-2024</t>
        </is>
      </c>
      <c r="B351" s="1" t="n">
        <v>45478</v>
      </c>
      <c r="C351" s="1" t="n">
        <v>45877</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28536-2024</t>
        </is>
      </c>
      <c r="B352" s="1" t="n">
        <v>45478</v>
      </c>
      <c r="C352" s="1" t="n">
        <v>45877</v>
      </c>
      <c r="D352" t="inlineStr">
        <is>
          <t>GÄVLEBORGS LÄN</t>
        </is>
      </c>
      <c r="E352" t="inlineStr">
        <is>
          <t>HOFORS</t>
        </is>
      </c>
      <c r="G352" t="n">
        <v>3.5</v>
      </c>
      <c r="H352" t="n">
        <v>0</v>
      </c>
      <c r="I352" t="n">
        <v>0</v>
      </c>
      <c r="J352" t="n">
        <v>0</v>
      </c>
      <c r="K352" t="n">
        <v>0</v>
      </c>
      <c r="L352" t="n">
        <v>0</v>
      </c>
      <c r="M352" t="n">
        <v>0</v>
      </c>
      <c r="N352" t="n">
        <v>0</v>
      </c>
      <c r="O352" t="n">
        <v>0</v>
      </c>
      <c r="P352" t="n">
        <v>0</v>
      </c>
      <c r="Q352" t="n">
        <v>0</v>
      </c>
      <c r="R352" s="2" t="inlineStr"/>
    </row>
    <row r="353" ht="15" customHeight="1">
      <c r="A353" t="inlineStr">
        <is>
          <t>A 30007-2024</t>
        </is>
      </c>
      <c r="B353" s="1" t="n">
        <v>45488</v>
      </c>
      <c r="C353" s="1" t="n">
        <v>45877</v>
      </c>
      <c r="D353" t="inlineStr">
        <is>
          <t>GÄVLEBORGS LÄN</t>
        </is>
      </c>
      <c r="E353" t="inlineStr">
        <is>
          <t>HOFORS</t>
        </is>
      </c>
      <c r="F353" t="inlineStr">
        <is>
          <t>Sveaskog</t>
        </is>
      </c>
      <c r="G353" t="n">
        <v>11.5</v>
      </c>
      <c r="H353" t="n">
        <v>0</v>
      </c>
      <c r="I353" t="n">
        <v>0</v>
      </c>
      <c r="J353" t="n">
        <v>0</v>
      </c>
      <c r="K353" t="n">
        <v>0</v>
      </c>
      <c r="L353" t="n">
        <v>0</v>
      </c>
      <c r="M353" t="n">
        <v>0</v>
      </c>
      <c r="N353" t="n">
        <v>0</v>
      </c>
      <c r="O353" t="n">
        <v>0</v>
      </c>
      <c r="P353" t="n">
        <v>0</v>
      </c>
      <c r="Q353" t="n">
        <v>0</v>
      </c>
      <c r="R353" s="2" t="inlineStr"/>
    </row>
    <row r="354" ht="15" customHeight="1">
      <c r="A354" t="inlineStr">
        <is>
          <t>A 30009-2024</t>
        </is>
      </c>
      <c r="B354" s="1" t="n">
        <v>45488</v>
      </c>
      <c r="C354" s="1" t="n">
        <v>45877</v>
      </c>
      <c r="D354" t="inlineStr">
        <is>
          <t>GÄVLEBORGS LÄN</t>
        </is>
      </c>
      <c r="E354" t="inlineStr">
        <is>
          <t>HOFORS</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30229-2024</t>
        </is>
      </c>
      <c r="B355" s="1" t="n">
        <v>45490</v>
      </c>
      <c r="C355" s="1" t="n">
        <v>45877</v>
      </c>
      <c r="D355" t="inlineStr">
        <is>
          <t>GÄVLEBORGS LÄN</t>
        </is>
      </c>
      <c r="E355" t="inlineStr">
        <is>
          <t>HOFORS</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31645-2024</t>
        </is>
      </c>
      <c r="B356" s="1" t="n">
        <v>45506</v>
      </c>
      <c r="C356" s="1" t="n">
        <v>45877</v>
      </c>
      <c r="D356" t="inlineStr">
        <is>
          <t>GÄVLEBORGS LÄN</t>
        </is>
      </c>
      <c r="E356" t="inlineStr">
        <is>
          <t>HOFORS</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31701-2024</t>
        </is>
      </c>
      <c r="B357" s="1" t="n">
        <v>45508</v>
      </c>
      <c r="C357" s="1" t="n">
        <v>45877</v>
      </c>
      <c r="D357" t="inlineStr">
        <is>
          <t>GÄVLEBORGS LÄN</t>
        </is>
      </c>
      <c r="E357" t="inlineStr">
        <is>
          <t>HOFORS</t>
        </is>
      </c>
      <c r="G357" t="n">
        <v>4.3</v>
      </c>
      <c r="H357" t="n">
        <v>0</v>
      </c>
      <c r="I357" t="n">
        <v>0</v>
      </c>
      <c r="J357" t="n">
        <v>0</v>
      </c>
      <c r="K357" t="n">
        <v>0</v>
      </c>
      <c r="L357" t="n">
        <v>0</v>
      </c>
      <c r="M357" t="n">
        <v>0</v>
      </c>
      <c r="N357" t="n">
        <v>0</v>
      </c>
      <c r="O357" t="n">
        <v>0</v>
      </c>
      <c r="P357" t="n">
        <v>0</v>
      </c>
      <c r="Q357" t="n">
        <v>0</v>
      </c>
      <c r="R357" s="2" t="inlineStr"/>
    </row>
    <row r="358" ht="15" customHeight="1">
      <c r="A358" t="inlineStr">
        <is>
          <t>A 32827-2024</t>
        </is>
      </c>
      <c r="B358" s="1" t="n">
        <v>45516</v>
      </c>
      <c r="C358" s="1" t="n">
        <v>45877</v>
      </c>
      <c r="D358" t="inlineStr">
        <is>
          <t>GÄVLEBORGS LÄN</t>
        </is>
      </c>
      <c r="E358" t="inlineStr">
        <is>
          <t>HOFORS</t>
        </is>
      </c>
      <c r="F358" t="inlineStr">
        <is>
          <t>Sveaskog</t>
        </is>
      </c>
      <c r="G358" t="n">
        <v>8.5</v>
      </c>
      <c r="H358" t="n">
        <v>0</v>
      </c>
      <c r="I358" t="n">
        <v>0</v>
      </c>
      <c r="J358" t="n">
        <v>0</v>
      </c>
      <c r="K358" t="n">
        <v>0</v>
      </c>
      <c r="L358" t="n">
        <v>0</v>
      </c>
      <c r="M358" t="n">
        <v>0</v>
      </c>
      <c r="N358" t="n">
        <v>0</v>
      </c>
      <c r="O358" t="n">
        <v>0</v>
      </c>
      <c r="P358" t="n">
        <v>0</v>
      </c>
      <c r="Q358" t="n">
        <v>0</v>
      </c>
      <c r="R358" s="2" t="inlineStr"/>
    </row>
    <row r="359" ht="15" customHeight="1">
      <c r="A359" t="inlineStr">
        <is>
          <t>A 33710-2024</t>
        </is>
      </c>
      <c r="B359" s="1" t="n">
        <v>45520</v>
      </c>
      <c r="C359" s="1" t="n">
        <v>45877</v>
      </c>
      <c r="D359" t="inlineStr">
        <is>
          <t>GÄVLEBORGS LÄN</t>
        </is>
      </c>
      <c r="E359" t="inlineStr">
        <is>
          <t>HOFORS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33734-2024</t>
        </is>
      </c>
      <c r="B360" s="1" t="n">
        <v>45520</v>
      </c>
      <c r="C360" s="1" t="n">
        <v>45877</v>
      </c>
      <c r="D360" t="inlineStr">
        <is>
          <t>GÄVLEBORGS LÄN</t>
        </is>
      </c>
      <c r="E360" t="inlineStr">
        <is>
          <t>HOFORS</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33979-2024</t>
        </is>
      </c>
      <c r="B361" s="1" t="n">
        <v>45523</v>
      </c>
      <c r="C361" s="1" t="n">
        <v>45877</v>
      </c>
      <c r="D361" t="inlineStr">
        <is>
          <t>GÄVLEBORGS LÄN</t>
        </is>
      </c>
      <c r="E361" t="inlineStr">
        <is>
          <t>HOFORS</t>
        </is>
      </c>
      <c r="G361" t="n">
        <v>1.7</v>
      </c>
      <c r="H361" t="n">
        <v>0</v>
      </c>
      <c r="I361" t="n">
        <v>0</v>
      </c>
      <c r="J361" t="n">
        <v>0</v>
      </c>
      <c r="K361" t="n">
        <v>0</v>
      </c>
      <c r="L361" t="n">
        <v>0</v>
      </c>
      <c r="M361" t="n">
        <v>0</v>
      </c>
      <c r="N361" t="n">
        <v>0</v>
      </c>
      <c r="O361" t="n">
        <v>0</v>
      </c>
      <c r="P361" t="n">
        <v>0</v>
      </c>
      <c r="Q361" t="n">
        <v>0</v>
      </c>
      <c r="R361" s="2" t="inlineStr"/>
    </row>
    <row r="362" ht="15" customHeight="1">
      <c r="A362" t="inlineStr">
        <is>
          <t>A 33983-2024</t>
        </is>
      </c>
      <c r="B362" s="1" t="n">
        <v>45523</v>
      </c>
      <c r="C362" s="1" t="n">
        <v>45877</v>
      </c>
      <c r="D362" t="inlineStr">
        <is>
          <t>GÄVLEBORGS LÄN</t>
        </is>
      </c>
      <c r="E362" t="inlineStr">
        <is>
          <t>HOFORS</t>
        </is>
      </c>
      <c r="F362" t="inlineStr">
        <is>
          <t>Bergvik skog öst AB</t>
        </is>
      </c>
      <c r="G362" t="n">
        <v>6.1</v>
      </c>
      <c r="H362" t="n">
        <v>0</v>
      </c>
      <c r="I362" t="n">
        <v>0</v>
      </c>
      <c r="J362" t="n">
        <v>0</v>
      </c>
      <c r="K362" t="n">
        <v>0</v>
      </c>
      <c r="L362" t="n">
        <v>0</v>
      </c>
      <c r="M362" t="n">
        <v>0</v>
      </c>
      <c r="N362" t="n">
        <v>0</v>
      </c>
      <c r="O362" t="n">
        <v>0</v>
      </c>
      <c r="P362" t="n">
        <v>0</v>
      </c>
      <c r="Q362" t="n">
        <v>0</v>
      </c>
      <c r="R362" s="2" t="inlineStr"/>
    </row>
    <row r="363" ht="15" customHeight="1">
      <c r="A363" t="inlineStr">
        <is>
          <t>A 33984-2024</t>
        </is>
      </c>
      <c r="B363" s="1" t="n">
        <v>45523</v>
      </c>
      <c r="C363" s="1" t="n">
        <v>45877</v>
      </c>
      <c r="D363" t="inlineStr">
        <is>
          <t>GÄVLEBORGS LÄN</t>
        </is>
      </c>
      <c r="E363" t="inlineStr">
        <is>
          <t>HOFORS</t>
        </is>
      </c>
      <c r="G363" t="n">
        <v>0.5</v>
      </c>
      <c r="H363" t="n">
        <v>0</v>
      </c>
      <c r="I363" t="n">
        <v>0</v>
      </c>
      <c r="J363" t="n">
        <v>0</v>
      </c>
      <c r="K363" t="n">
        <v>0</v>
      </c>
      <c r="L363" t="n">
        <v>0</v>
      </c>
      <c r="M363" t="n">
        <v>0</v>
      </c>
      <c r="N363" t="n">
        <v>0</v>
      </c>
      <c r="O363" t="n">
        <v>0</v>
      </c>
      <c r="P363" t="n">
        <v>0</v>
      </c>
      <c r="Q363" t="n">
        <v>0</v>
      </c>
      <c r="R363" s="2" t="inlineStr"/>
    </row>
    <row r="364" ht="15" customHeight="1">
      <c r="A364" t="inlineStr">
        <is>
          <t>A 33978-2024</t>
        </is>
      </c>
      <c r="B364" s="1" t="n">
        <v>45523</v>
      </c>
      <c r="C364" s="1" t="n">
        <v>45877</v>
      </c>
      <c r="D364" t="inlineStr">
        <is>
          <t>GÄVLEBORGS LÄN</t>
        </is>
      </c>
      <c r="E364" t="inlineStr">
        <is>
          <t>HOFORS</t>
        </is>
      </c>
      <c r="G364" t="n">
        <v>0.6</v>
      </c>
      <c r="H364" t="n">
        <v>0</v>
      </c>
      <c r="I364" t="n">
        <v>0</v>
      </c>
      <c r="J364" t="n">
        <v>0</v>
      </c>
      <c r="K364" t="n">
        <v>0</v>
      </c>
      <c r="L364" t="n">
        <v>0</v>
      </c>
      <c r="M364" t="n">
        <v>0</v>
      </c>
      <c r="N364" t="n">
        <v>0</v>
      </c>
      <c r="O364" t="n">
        <v>0</v>
      </c>
      <c r="P364" t="n">
        <v>0</v>
      </c>
      <c r="Q364" t="n">
        <v>0</v>
      </c>
      <c r="R364" s="2" t="inlineStr"/>
    </row>
    <row r="365" ht="15" customHeight="1">
      <c r="A365" t="inlineStr">
        <is>
          <t>A 33981-2024</t>
        </is>
      </c>
      <c r="B365" s="1" t="n">
        <v>45523</v>
      </c>
      <c r="C365" s="1" t="n">
        <v>45877</v>
      </c>
      <c r="D365" t="inlineStr">
        <is>
          <t>GÄVLEBORGS LÄN</t>
        </is>
      </c>
      <c r="E365" t="inlineStr">
        <is>
          <t>HOFORS</t>
        </is>
      </c>
      <c r="G365" t="n">
        <v>2.3</v>
      </c>
      <c r="H365" t="n">
        <v>0</v>
      </c>
      <c r="I365" t="n">
        <v>0</v>
      </c>
      <c r="J365" t="n">
        <v>0</v>
      </c>
      <c r="K365" t="n">
        <v>0</v>
      </c>
      <c r="L365" t="n">
        <v>0</v>
      </c>
      <c r="M365" t="n">
        <v>0</v>
      </c>
      <c r="N365" t="n">
        <v>0</v>
      </c>
      <c r="O365" t="n">
        <v>0</v>
      </c>
      <c r="P365" t="n">
        <v>0</v>
      </c>
      <c r="Q365" t="n">
        <v>0</v>
      </c>
      <c r="R365" s="2" t="inlineStr"/>
    </row>
    <row r="366" ht="15" customHeight="1">
      <c r="A366" t="inlineStr">
        <is>
          <t>A 33985-2024</t>
        </is>
      </c>
      <c r="B366" s="1" t="n">
        <v>45523</v>
      </c>
      <c r="C366" s="1" t="n">
        <v>45877</v>
      </c>
      <c r="D366" t="inlineStr">
        <is>
          <t>GÄVLEBORGS LÄN</t>
        </is>
      </c>
      <c r="E366" t="inlineStr">
        <is>
          <t>HOFORS</t>
        </is>
      </c>
      <c r="G366" t="n">
        <v>1.1</v>
      </c>
      <c r="H366" t="n">
        <v>0</v>
      </c>
      <c r="I366" t="n">
        <v>0</v>
      </c>
      <c r="J366" t="n">
        <v>0</v>
      </c>
      <c r="K366" t="n">
        <v>0</v>
      </c>
      <c r="L366" t="n">
        <v>0</v>
      </c>
      <c r="M366" t="n">
        <v>0</v>
      </c>
      <c r="N366" t="n">
        <v>0</v>
      </c>
      <c r="O366" t="n">
        <v>0</v>
      </c>
      <c r="P366" t="n">
        <v>0</v>
      </c>
      <c r="Q366" t="n">
        <v>0</v>
      </c>
      <c r="R366" s="2" t="inlineStr"/>
    </row>
    <row r="367" ht="15" customHeight="1">
      <c r="A367" t="inlineStr">
        <is>
          <t>A 35498-2024</t>
        </is>
      </c>
      <c r="B367" s="1" t="n">
        <v>45531</v>
      </c>
      <c r="C367" s="1" t="n">
        <v>45877</v>
      </c>
      <c r="D367" t="inlineStr">
        <is>
          <t>GÄVLEBORGS LÄN</t>
        </is>
      </c>
      <c r="E367" t="inlineStr">
        <is>
          <t>HOFORS</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35514-2024</t>
        </is>
      </c>
      <c r="B368" s="1" t="n">
        <v>45531</v>
      </c>
      <c r="C368" s="1" t="n">
        <v>45877</v>
      </c>
      <c r="D368" t="inlineStr">
        <is>
          <t>GÄVLEBORGS LÄN</t>
        </is>
      </c>
      <c r="E368" t="inlineStr">
        <is>
          <t>HOFORS</t>
        </is>
      </c>
      <c r="F368" t="inlineStr">
        <is>
          <t>Sveaskog</t>
        </is>
      </c>
      <c r="G368" t="n">
        <v>6.5</v>
      </c>
      <c r="H368" t="n">
        <v>0</v>
      </c>
      <c r="I368" t="n">
        <v>0</v>
      </c>
      <c r="J368" t="n">
        <v>0</v>
      </c>
      <c r="K368" t="n">
        <v>0</v>
      </c>
      <c r="L368" t="n">
        <v>0</v>
      </c>
      <c r="M368" t="n">
        <v>0</v>
      </c>
      <c r="N368" t="n">
        <v>0</v>
      </c>
      <c r="O368" t="n">
        <v>0</v>
      </c>
      <c r="P368" t="n">
        <v>0</v>
      </c>
      <c r="Q368" t="n">
        <v>0</v>
      </c>
      <c r="R368" s="2" t="inlineStr"/>
    </row>
    <row r="369" ht="15" customHeight="1">
      <c r="A369" t="inlineStr">
        <is>
          <t>A 35505-2024</t>
        </is>
      </c>
      <c r="B369" s="1" t="n">
        <v>45531</v>
      </c>
      <c r="C369" s="1" t="n">
        <v>45877</v>
      </c>
      <c r="D369" t="inlineStr">
        <is>
          <t>GÄVLEBORGS LÄN</t>
        </is>
      </c>
      <c r="E369" t="inlineStr">
        <is>
          <t>HOFORS</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35504-2024</t>
        </is>
      </c>
      <c r="B370" s="1" t="n">
        <v>45531</v>
      </c>
      <c r="C370" s="1" t="n">
        <v>45877</v>
      </c>
      <c r="D370" t="inlineStr">
        <is>
          <t>GÄVLEBORGS LÄN</t>
        </is>
      </c>
      <c r="E370" t="inlineStr">
        <is>
          <t>HOFORS</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36278-2024</t>
        </is>
      </c>
      <c r="B371" s="1" t="n">
        <v>45534</v>
      </c>
      <c r="C371" s="1" t="n">
        <v>45877</v>
      </c>
      <c r="D371" t="inlineStr">
        <is>
          <t>GÄVLEBORGS LÄN</t>
        </is>
      </c>
      <c r="E371" t="inlineStr">
        <is>
          <t>HOFORS</t>
        </is>
      </c>
      <c r="F371" t="inlineStr">
        <is>
          <t>Sveaskog</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36283-2024</t>
        </is>
      </c>
      <c r="B372" s="1" t="n">
        <v>45534</v>
      </c>
      <c r="C372" s="1" t="n">
        <v>45877</v>
      </c>
      <c r="D372" t="inlineStr">
        <is>
          <t>GÄVLEBORGS LÄN</t>
        </is>
      </c>
      <c r="E372" t="inlineStr">
        <is>
          <t>HOFORS</t>
        </is>
      </c>
      <c r="F372" t="inlineStr">
        <is>
          <t>Sveaskog</t>
        </is>
      </c>
      <c r="G372" t="n">
        <v>6.9</v>
      </c>
      <c r="H372" t="n">
        <v>0</v>
      </c>
      <c r="I372" t="n">
        <v>0</v>
      </c>
      <c r="J372" t="n">
        <v>0</v>
      </c>
      <c r="K372" t="n">
        <v>0</v>
      </c>
      <c r="L372" t="n">
        <v>0</v>
      </c>
      <c r="M372" t="n">
        <v>0</v>
      </c>
      <c r="N372" t="n">
        <v>0</v>
      </c>
      <c r="O372" t="n">
        <v>0</v>
      </c>
      <c r="P372" t="n">
        <v>0</v>
      </c>
      <c r="Q372" t="n">
        <v>0</v>
      </c>
      <c r="R372" s="2" t="inlineStr"/>
    </row>
    <row r="373" ht="15" customHeight="1">
      <c r="A373" t="inlineStr">
        <is>
          <t>A 36766-2024</t>
        </is>
      </c>
      <c r="B373" s="1" t="n">
        <v>45538</v>
      </c>
      <c r="C373" s="1" t="n">
        <v>45877</v>
      </c>
      <c r="D373" t="inlineStr">
        <is>
          <t>GÄVLEBORGS LÄN</t>
        </is>
      </c>
      <c r="E373" t="inlineStr">
        <is>
          <t>HOFORS</t>
        </is>
      </c>
      <c r="G373" t="n">
        <v>5</v>
      </c>
      <c r="H373" t="n">
        <v>0</v>
      </c>
      <c r="I373" t="n">
        <v>0</v>
      </c>
      <c r="J373" t="n">
        <v>0</v>
      </c>
      <c r="K373" t="n">
        <v>0</v>
      </c>
      <c r="L373" t="n">
        <v>0</v>
      </c>
      <c r="M373" t="n">
        <v>0</v>
      </c>
      <c r="N373" t="n">
        <v>0</v>
      </c>
      <c r="O373" t="n">
        <v>0</v>
      </c>
      <c r="P373" t="n">
        <v>0</v>
      </c>
      <c r="Q373" t="n">
        <v>0</v>
      </c>
      <c r="R373" s="2" t="inlineStr"/>
    </row>
    <row r="374" ht="15" customHeight="1">
      <c r="A374" t="inlineStr">
        <is>
          <t>A 36763-2024</t>
        </is>
      </c>
      <c r="B374" s="1" t="n">
        <v>45538</v>
      </c>
      <c r="C374" s="1" t="n">
        <v>45877</v>
      </c>
      <c r="D374" t="inlineStr">
        <is>
          <t>GÄVLEBORGS LÄN</t>
        </is>
      </c>
      <c r="E374" t="inlineStr">
        <is>
          <t>HOFORS</t>
        </is>
      </c>
      <c r="G374" t="n">
        <v>1.5</v>
      </c>
      <c r="H374" t="n">
        <v>0</v>
      </c>
      <c r="I374" t="n">
        <v>0</v>
      </c>
      <c r="J374" t="n">
        <v>0</v>
      </c>
      <c r="K374" t="n">
        <v>0</v>
      </c>
      <c r="L374" t="n">
        <v>0</v>
      </c>
      <c r="M374" t="n">
        <v>0</v>
      </c>
      <c r="N374" t="n">
        <v>0</v>
      </c>
      <c r="O374" t="n">
        <v>0</v>
      </c>
      <c r="P374" t="n">
        <v>0</v>
      </c>
      <c r="Q374" t="n">
        <v>0</v>
      </c>
      <c r="R374" s="2" t="inlineStr"/>
    </row>
    <row r="375" ht="15" customHeight="1">
      <c r="A375" t="inlineStr">
        <is>
          <t>A 39083-2024</t>
        </is>
      </c>
      <c r="B375" s="1" t="n">
        <v>45548</v>
      </c>
      <c r="C375" s="1" t="n">
        <v>45877</v>
      </c>
      <c r="D375" t="inlineStr">
        <is>
          <t>GÄVLEBORGS LÄN</t>
        </is>
      </c>
      <c r="E375" t="inlineStr">
        <is>
          <t>HOFORS</t>
        </is>
      </c>
      <c r="G375" t="n">
        <v>0.6</v>
      </c>
      <c r="H375" t="n">
        <v>0</v>
      </c>
      <c r="I375" t="n">
        <v>0</v>
      </c>
      <c r="J375" t="n">
        <v>0</v>
      </c>
      <c r="K375" t="n">
        <v>0</v>
      </c>
      <c r="L375" t="n">
        <v>0</v>
      </c>
      <c r="M375" t="n">
        <v>0</v>
      </c>
      <c r="N375" t="n">
        <v>0</v>
      </c>
      <c r="O375" t="n">
        <v>0</v>
      </c>
      <c r="P375" t="n">
        <v>0</v>
      </c>
      <c r="Q375" t="n">
        <v>0</v>
      </c>
      <c r="R375" s="2" t="inlineStr"/>
    </row>
    <row r="376" ht="15" customHeight="1">
      <c r="A376" t="inlineStr">
        <is>
          <t>A 40861-2024</t>
        </is>
      </c>
      <c r="B376" s="1" t="n">
        <v>45558</v>
      </c>
      <c r="C376" s="1" t="n">
        <v>45877</v>
      </c>
      <c r="D376" t="inlineStr">
        <is>
          <t>GÄVLEBORGS LÄN</t>
        </is>
      </c>
      <c r="E376" t="inlineStr">
        <is>
          <t>HOFORS</t>
        </is>
      </c>
      <c r="F376" t="inlineStr">
        <is>
          <t>Sveaskog</t>
        </is>
      </c>
      <c r="G376" t="n">
        <v>19.5</v>
      </c>
      <c r="H376" t="n">
        <v>0</v>
      </c>
      <c r="I376" t="n">
        <v>0</v>
      </c>
      <c r="J376" t="n">
        <v>0</v>
      </c>
      <c r="K376" t="n">
        <v>0</v>
      </c>
      <c r="L376" t="n">
        <v>0</v>
      </c>
      <c r="M376" t="n">
        <v>0</v>
      </c>
      <c r="N376" t="n">
        <v>0</v>
      </c>
      <c r="O376" t="n">
        <v>0</v>
      </c>
      <c r="P376" t="n">
        <v>0</v>
      </c>
      <c r="Q376" t="n">
        <v>0</v>
      </c>
      <c r="R376" s="2" t="inlineStr"/>
    </row>
    <row r="377" ht="15" customHeight="1">
      <c r="A377" t="inlineStr">
        <is>
          <t>A 40863-2024</t>
        </is>
      </c>
      <c r="B377" s="1" t="n">
        <v>45558</v>
      </c>
      <c r="C377" s="1" t="n">
        <v>45877</v>
      </c>
      <c r="D377" t="inlineStr">
        <is>
          <t>GÄVLEBORGS LÄN</t>
        </is>
      </c>
      <c r="E377" t="inlineStr">
        <is>
          <t>HOFORS</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43143-2024</t>
        </is>
      </c>
      <c r="B378" s="1" t="n">
        <v>45567</v>
      </c>
      <c r="C378" s="1" t="n">
        <v>45877</v>
      </c>
      <c r="D378" t="inlineStr">
        <is>
          <t>GÄVLEBORGS LÄN</t>
        </is>
      </c>
      <c r="E378" t="inlineStr">
        <is>
          <t>HOFORS</t>
        </is>
      </c>
      <c r="G378" t="n">
        <v>3.3</v>
      </c>
      <c r="H378" t="n">
        <v>0</v>
      </c>
      <c r="I378" t="n">
        <v>0</v>
      </c>
      <c r="J378" t="n">
        <v>0</v>
      </c>
      <c r="K378" t="n">
        <v>0</v>
      </c>
      <c r="L378" t="n">
        <v>0</v>
      </c>
      <c r="M378" t="n">
        <v>0</v>
      </c>
      <c r="N378" t="n">
        <v>0</v>
      </c>
      <c r="O378" t="n">
        <v>0</v>
      </c>
      <c r="P378" t="n">
        <v>0</v>
      </c>
      <c r="Q378" t="n">
        <v>0</v>
      </c>
      <c r="R378" s="2" t="inlineStr"/>
    </row>
    <row r="379" ht="15" customHeight="1">
      <c r="A379" t="inlineStr">
        <is>
          <t>A 45645-2024</t>
        </is>
      </c>
      <c r="B379" s="1" t="n">
        <v>45579</v>
      </c>
      <c r="C379" s="1" t="n">
        <v>45877</v>
      </c>
      <c r="D379" t="inlineStr">
        <is>
          <t>GÄVLEBORGS LÄN</t>
        </is>
      </c>
      <c r="E379" t="inlineStr">
        <is>
          <t>HOFORS</t>
        </is>
      </c>
      <c r="G379" t="n">
        <v>0.7</v>
      </c>
      <c r="H379" t="n">
        <v>0</v>
      </c>
      <c r="I379" t="n">
        <v>0</v>
      </c>
      <c r="J379" t="n">
        <v>0</v>
      </c>
      <c r="K379" t="n">
        <v>0</v>
      </c>
      <c r="L379" t="n">
        <v>0</v>
      </c>
      <c r="M379" t="n">
        <v>0</v>
      </c>
      <c r="N379" t="n">
        <v>0</v>
      </c>
      <c r="O379" t="n">
        <v>0</v>
      </c>
      <c r="P379" t="n">
        <v>0</v>
      </c>
      <c r="Q379" t="n">
        <v>0</v>
      </c>
      <c r="R379" s="2" t="inlineStr"/>
    </row>
    <row r="380" ht="15" customHeight="1">
      <c r="A380" t="inlineStr">
        <is>
          <t>A 47524-2024</t>
        </is>
      </c>
      <c r="B380" s="1" t="n">
        <v>45587</v>
      </c>
      <c r="C380" s="1" t="n">
        <v>45877</v>
      </c>
      <c r="D380" t="inlineStr">
        <is>
          <t>GÄVLEBORGS LÄN</t>
        </is>
      </c>
      <c r="E380" t="inlineStr">
        <is>
          <t>HOFORS</t>
        </is>
      </c>
      <c r="G380" t="n">
        <v>3.1</v>
      </c>
      <c r="H380" t="n">
        <v>0</v>
      </c>
      <c r="I380" t="n">
        <v>0</v>
      </c>
      <c r="J380" t="n">
        <v>0</v>
      </c>
      <c r="K380" t="n">
        <v>0</v>
      </c>
      <c r="L380" t="n">
        <v>0</v>
      </c>
      <c r="M380" t="n">
        <v>0</v>
      </c>
      <c r="N380" t="n">
        <v>0</v>
      </c>
      <c r="O380" t="n">
        <v>0</v>
      </c>
      <c r="P380" t="n">
        <v>0</v>
      </c>
      <c r="Q380" t="n">
        <v>0</v>
      </c>
      <c r="R380" s="2" t="inlineStr"/>
    </row>
    <row r="381" ht="15" customHeight="1">
      <c r="A381" t="inlineStr">
        <is>
          <t>A 47504-2024</t>
        </is>
      </c>
      <c r="B381" s="1" t="n">
        <v>45587</v>
      </c>
      <c r="C381" s="1" t="n">
        <v>45877</v>
      </c>
      <c r="D381" t="inlineStr">
        <is>
          <t>GÄVLEBORGS LÄN</t>
        </is>
      </c>
      <c r="E381" t="inlineStr">
        <is>
          <t>HOFORS</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47495-2024</t>
        </is>
      </c>
      <c r="B382" s="1" t="n">
        <v>45587</v>
      </c>
      <c r="C382" s="1" t="n">
        <v>45877</v>
      </c>
      <c r="D382" t="inlineStr">
        <is>
          <t>GÄVLEBORGS LÄN</t>
        </is>
      </c>
      <c r="E382" t="inlineStr">
        <is>
          <t>HOFORS</t>
        </is>
      </c>
      <c r="F382" t="inlineStr">
        <is>
          <t>Sveaskog</t>
        </is>
      </c>
      <c r="G382" t="n">
        <v>5.2</v>
      </c>
      <c r="H382" t="n">
        <v>0</v>
      </c>
      <c r="I382" t="n">
        <v>0</v>
      </c>
      <c r="J382" t="n">
        <v>0</v>
      </c>
      <c r="K382" t="n">
        <v>0</v>
      </c>
      <c r="L382" t="n">
        <v>0</v>
      </c>
      <c r="M382" t="n">
        <v>0</v>
      </c>
      <c r="N382" t="n">
        <v>0</v>
      </c>
      <c r="O382" t="n">
        <v>0</v>
      </c>
      <c r="P382" t="n">
        <v>0</v>
      </c>
      <c r="Q382" t="n">
        <v>0</v>
      </c>
      <c r="R382" s="2" t="inlineStr"/>
    </row>
    <row r="383" ht="15" customHeight="1">
      <c r="A383" t="inlineStr">
        <is>
          <t>A 47493-2024</t>
        </is>
      </c>
      <c r="B383" s="1" t="n">
        <v>45587</v>
      </c>
      <c r="C383" s="1" t="n">
        <v>45877</v>
      </c>
      <c r="D383" t="inlineStr">
        <is>
          <t>GÄVLEBORGS LÄN</t>
        </is>
      </c>
      <c r="E383" t="inlineStr">
        <is>
          <t>HOFORS</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47359-2024</t>
        </is>
      </c>
      <c r="B384" s="1" t="n">
        <v>45587</v>
      </c>
      <c r="C384" s="1" t="n">
        <v>45877</v>
      </c>
      <c r="D384" t="inlineStr">
        <is>
          <t>GÄVLEBORGS LÄN</t>
        </is>
      </c>
      <c r="E384" t="inlineStr">
        <is>
          <t>HOFORS</t>
        </is>
      </c>
      <c r="G384" t="n">
        <v>1.2</v>
      </c>
      <c r="H384" t="n">
        <v>0</v>
      </c>
      <c r="I384" t="n">
        <v>0</v>
      </c>
      <c r="J384" t="n">
        <v>0</v>
      </c>
      <c r="K384" t="n">
        <v>0</v>
      </c>
      <c r="L384" t="n">
        <v>0</v>
      </c>
      <c r="M384" t="n">
        <v>0</v>
      </c>
      <c r="N384" t="n">
        <v>0</v>
      </c>
      <c r="O384" t="n">
        <v>0</v>
      </c>
      <c r="P384" t="n">
        <v>0</v>
      </c>
      <c r="Q384" t="n">
        <v>0</v>
      </c>
      <c r="R384" s="2" t="inlineStr"/>
    </row>
    <row r="385" ht="15" customHeight="1">
      <c r="A385" t="inlineStr">
        <is>
          <t>A 48063-2024</t>
        </is>
      </c>
      <c r="B385" s="1" t="n">
        <v>45589</v>
      </c>
      <c r="C385" s="1" t="n">
        <v>45877</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48844-2024</t>
        </is>
      </c>
      <c r="B386" s="1" t="n">
        <v>45593</v>
      </c>
      <c r="C386" s="1" t="n">
        <v>45877</v>
      </c>
      <c r="D386" t="inlineStr">
        <is>
          <t>GÄVLEBORGS LÄN</t>
        </is>
      </c>
      <c r="E386" t="inlineStr">
        <is>
          <t>HOFORS</t>
        </is>
      </c>
      <c r="G386" t="n">
        <v>2.3</v>
      </c>
      <c r="H386" t="n">
        <v>0</v>
      </c>
      <c r="I386" t="n">
        <v>0</v>
      </c>
      <c r="J386" t="n">
        <v>0</v>
      </c>
      <c r="K386" t="n">
        <v>0</v>
      </c>
      <c r="L386" t="n">
        <v>0</v>
      </c>
      <c r="M386" t="n">
        <v>0</v>
      </c>
      <c r="N386" t="n">
        <v>0</v>
      </c>
      <c r="O386" t="n">
        <v>0</v>
      </c>
      <c r="P386" t="n">
        <v>0</v>
      </c>
      <c r="Q386" t="n">
        <v>0</v>
      </c>
      <c r="R386" s="2" t="inlineStr"/>
    </row>
    <row r="387" ht="15" customHeight="1">
      <c r="A387" t="inlineStr">
        <is>
          <t>A 49083-2024</t>
        </is>
      </c>
      <c r="B387" s="1" t="n">
        <v>45594</v>
      </c>
      <c r="C387" s="1" t="n">
        <v>45877</v>
      </c>
      <c r="D387" t="inlineStr">
        <is>
          <t>GÄVLEBORGS LÄN</t>
        </is>
      </c>
      <c r="E387" t="inlineStr">
        <is>
          <t>HOFORS</t>
        </is>
      </c>
      <c r="G387" t="n">
        <v>0.8</v>
      </c>
      <c r="H387" t="n">
        <v>0</v>
      </c>
      <c r="I387" t="n">
        <v>0</v>
      </c>
      <c r="J387" t="n">
        <v>0</v>
      </c>
      <c r="K387" t="n">
        <v>0</v>
      </c>
      <c r="L387" t="n">
        <v>0</v>
      </c>
      <c r="M387" t="n">
        <v>0</v>
      </c>
      <c r="N387" t="n">
        <v>0</v>
      </c>
      <c r="O387" t="n">
        <v>0</v>
      </c>
      <c r="P387" t="n">
        <v>0</v>
      </c>
      <c r="Q387" t="n">
        <v>0</v>
      </c>
      <c r="R387" s="2" t="inlineStr"/>
    </row>
    <row r="388" ht="15" customHeight="1">
      <c r="A388" t="inlineStr">
        <is>
          <t>A 49815-2024</t>
        </is>
      </c>
      <c r="B388" s="1" t="n">
        <v>45597</v>
      </c>
      <c r="C388" s="1" t="n">
        <v>45877</v>
      </c>
      <c r="D388" t="inlineStr">
        <is>
          <t>GÄVLEBORGS LÄN</t>
        </is>
      </c>
      <c r="E388" t="inlineStr">
        <is>
          <t>HOFORS</t>
        </is>
      </c>
      <c r="G388" t="n">
        <v>0.9</v>
      </c>
      <c r="H388" t="n">
        <v>0</v>
      </c>
      <c r="I388" t="n">
        <v>0</v>
      </c>
      <c r="J388" t="n">
        <v>0</v>
      </c>
      <c r="K388" t="n">
        <v>0</v>
      </c>
      <c r="L388" t="n">
        <v>0</v>
      </c>
      <c r="M388" t="n">
        <v>0</v>
      </c>
      <c r="N388" t="n">
        <v>0</v>
      </c>
      <c r="O388" t="n">
        <v>0</v>
      </c>
      <c r="P388" t="n">
        <v>0</v>
      </c>
      <c r="Q388" t="n">
        <v>0</v>
      </c>
      <c r="R388" s="2" t="inlineStr"/>
    </row>
    <row r="389" ht="15" customHeight="1">
      <c r="A389" t="inlineStr">
        <is>
          <t>A 53526-2024</t>
        </is>
      </c>
      <c r="B389" s="1" t="n">
        <v>45614</v>
      </c>
      <c r="C389" s="1" t="n">
        <v>45877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53521-2024</t>
        </is>
      </c>
      <c r="B390" s="1" t="n">
        <v>45614</v>
      </c>
      <c r="C390" s="1" t="n">
        <v>45877</v>
      </c>
      <c r="D390" t="inlineStr">
        <is>
          <t>GÄVLEBORGS LÄN</t>
        </is>
      </c>
      <c r="E390" t="inlineStr">
        <is>
          <t>HOFORS</t>
        </is>
      </c>
      <c r="G390" t="n">
        <v>2.2</v>
      </c>
      <c r="H390" t="n">
        <v>0</v>
      </c>
      <c r="I390" t="n">
        <v>0</v>
      </c>
      <c r="J390" t="n">
        <v>0</v>
      </c>
      <c r="K390" t="n">
        <v>0</v>
      </c>
      <c r="L390" t="n">
        <v>0</v>
      </c>
      <c r="M390" t="n">
        <v>0</v>
      </c>
      <c r="N390" t="n">
        <v>0</v>
      </c>
      <c r="O390" t="n">
        <v>0</v>
      </c>
      <c r="P390" t="n">
        <v>0</v>
      </c>
      <c r="Q390" t="n">
        <v>0</v>
      </c>
      <c r="R390" s="2" t="inlineStr"/>
    </row>
    <row r="391" ht="15" customHeight="1">
      <c r="A391" t="inlineStr">
        <is>
          <t>A 53517-2024</t>
        </is>
      </c>
      <c r="B391" s="1" t="n">
        <v>45614</v>
      </c>
      <c r="C391" s="1" t="n">
        <v>45877</v>
      </c>
      <c r="D391" t="inlineStr">
        <is>
          <t>GÄVLEBORGS LÄN</t>
        </is>
      </c>
      <c r="E391" t="inlineStr">
        <is>
          <t>HOFORS</t>
        </is>
      </c>
      <c r="G391" t="n">
        <v>1</v>
      </c>
      <c r="H391" t="n">
        <v>0</v>
      </c>
      <c r="I391" t="n">
        <v>0</v>
      </c>
      <c r="J391" t="n">
        <v>0</v>
      </c>
      <c r="K391" t="n">
        <v>0</v>
      </c>
      <c r="L391" t="n">
        <v>0</v>
      </c>
      <c r="M391" t="n">
        <v>0</v>
      </c>
      <c r="N391" t="n">
        <v>0</v>
      </c>
      <c r="O391" t="n">
        <v>0</v>
      </c>
      <c r="P391" t="n">
        <v>0</v>
      </c>
      <c r="Q391" t="n">
        <v>0</v>
      </c>
      <c r="R391" s="2" t="inlineStr"/>
    </row>
    <row r="392" ht="15" customHeight="1">
      <c r="A392" t="inlineStr">
        <is>
          <t>A 53393-2024</t>
        </is>
      </c>
      <c r="B392" s="1" t="n">
        <v>45614</v>
      </c>
      <c r="C392" s="1" t="n">
        <v>45877</v>
      </c>
      <c r="D392" t="inlineStr">
        <is>
          <t>GÄVLEBORGS LÄN</t>
        </is>
      </c>
      <c r="E392" t="inlineStr">
        <is>
          <t>HOFORS</t>
        </is>
      </c>
      <c r="F392" t="inlineStr">
        <is>
          <t>Övriga statliga verk och myndigheter</t>
        </is>
      </c>
      <c r="G392" t="n">
        <v>1.4</v>
      </c>
      <c r="H392" t="n">
        <v>0</v>
      </c>
      <c r="I392" t="n">
        <v>0</v>
      </c>
      <c r="J392" t="n">
        <v>0</v>
      </c>
      <c r="K392" t="n">
        <v>0</v>
      </c>
      <c r="L392" t="n">
        <v>0</v>
      </c>
      <c r="M392" t="n">
        <v>0</v>
      </c>
      <c r="N392" t="n">
        <v>0</v>
      </c>
      <c r="O392" t="n">
        <v>0</v>
      </c>
      <c r="P392" t="n">
        <v>0</v>
      </c>
      <c r="Q392" t="n">
        <v>0</v>
      </c>
      <c r="R392" s="2" t="inlineStr"/>
    </row>
    <row r="393" ht="15" customHeight="1">
      <c r="A393" t="inlineStr">
        <is>
          <t>A 53385-2024</t>
        </is>
      </c>
      <c r="B393" s="1" t="n">
        <v>45614</v>
      </c>
      <c r="C393" s="1" t="n">
        <v>45877</v>
      </c>
      <c r="D393" t="inlineStr">
        <is>
          <t>GÄVLEBORGS LÄN</t>
        </is>
      </c>
      <c r="E393" t="inlineStr">
        <is>
          <t>HOFORS</t>
        </is>
      </c>
      <c r="F393" t="inlineStr">
        <is>
          <t>Övriga statliga verk och myndigheter</t>
        </is>
      </c>
      <c r="G393" t="n">
        <v>3.4</v>
      </c>
      <c r="H393" t="n">
        <v>0</v>
      </c>
      <c r="I393" t="n">
        <v>0</v>
      </c>
      <c r="J393" t="n">
        <v>0</v>
      </c>
      <c r="K393" t="n">
        <v>0</v>
      </c>
      <c r="L393" t="n">
        <v>0</v>
      </c>
      <c r="M393" t="n">
        <v>0</v>
      </c>
      <c r="N393" t="n">
        <v>0</v>
      </c>
      <c r="O393" t="n">
        <v>0</v>
      </c>
      <c r="P393" t="n">
        <v>0</v>
      </c>
      <c r="Q393" t="n">
        <v>0</v>
      </c>
      <c r="R393" s="2" t="inlineStr"/>
    </row>
    <row r="394" ht="15" customHeight="1">
      <c r="A394" t="inlineStr">
        <is>
          <t>A 54578-2024</t>
        </is>
      </c>
      <c r="B394" s="1" t="n">
        <v>45617</v>
      </c>
      <c r="C394" s="1" t="n">
        <v>45877</v>
      </c>
      <c r="D394" t="inlineStr">
        <is>
          <t>GÄVLEBORGS LÄN</t>
        </is>
      </c>
      <c r="E394" t="inlineStr">
        <is>
          <t>HOFORS</t>
        </is>
      </c>
      <c r="G394" t="n">
        <v>3.9</v>
      </c>
      <c r="H394" t="n">
        <v>0</v>
      </c>
      <c r="I394" t="n">
        <v>0</v>
      </c>
      <c r="J394" t="n">
        <v>0</v>
      </c>
      <c r="K394" t="n">
        <v>0</v>
      </c>
      <c r="L394" t="n">
        <v>0</v>
      </c>
      <c r="M394" t="n">
        <v>0</v>
      </c>
      <c r="N394" t="n">
        <v>0</v>
      </c>
      <c r="O394" t="n">
        <v>0</v>
      </c>
      <c r="P394" t="n">
        <v>0</v>
      </c>
      <c r="Q394" t="n">
        <v>0</v>
      </c>
      <c r="R394" s="2" t="inlineStr"/>
    </row>
    <row r="395" ht="15" customHeight="1">
      <c r="A395" t="inlineStr">
        <is>
          <t>A 55127-2024</t>
        </is>
      </c>
      <c r="B395" s="1" t="n">
        <v>45621</v>
      </c>
      <c r="C395" s="1" t="n">
        <v>45877</v>
      </c>
      <c r="D395" t="inlineStr">
        <is>
          <t>GÄVLEBORGS LÄN</t>
        </is>
      </c>
      <c r="E395" t="inlineStr">
        <is>
          <t>HOFORS</t>
        </is>
      </c>
      <c r="G395" t="n">
        <v>5.1</v>
      </c>
      <c r="H395" t="n">
        <v>0</v>
      </c>
      <c r="I395" t="n">
        <v>0</v>
      </c>
      <c r="J395" t="n">
        <v>0</v>
      </c>
      <c r="K395" t="n">
        <v>0</v>
      </c>
      <c r="L395" t="n">
        <v>0</v>
      </c>
      <c r="M395" t="n">
        <v>0</v>
      </c>
      <c r="N395" t="n">
        <v>0</v>
      </c>
      <c r="O395" t="n">
        <v>0</v>
      </c>
      <c r="P395" t="n">
        <v>0</v>
      </c>
      <c r="Q395" t="n">
        <v>0</v>
      </c>
      <c r="R395" s="2" t="inlineStr"/>
    </row>
    <row r="396" ht="15" customHeight="1">
      <c r="A396" t="inlineStr">
        <is>
          <t>A 56147-2024</t>
        </is>
      </c>
      <c r="B396" s="1" t="n">
        <v>45624</v>
      </c>
      <c r="C396" s="1" t="n">
        <v>45877</v>
      </c>
      <c r="D396" t="inlineStr">
        <is>
          <t>GÄVLEBORGS LÄN</t>
        </is>
      </c>
      <c r="E396" t="inlineStr">
        <is>
          <t>HOFORS</t>
        </is>
      </c>
      <c r="G396" t="n">
        <v>4.1</v>
      </c>
      <c r="H396" t="n">
        <v>0</v>
      </c>
      <c r="I396" t="n">
        <v>0</v>
      </c>
      <c r="J396" t="n">
        <v>0</v>
      </c>
      <c r="K396" t="n">
        <v>0</v>
      </c>
      <c r="L396" t="n">
        <v>0</v>
      </c>
      <c r="M396" t="n">
        <v>0</v>
      </c>
      <c r="N396" t="n">
        <v>0</v>
      </c>
      <c r="O396" t="n">
        <v>0</v>
      </c>
      <c r="P396" t="n">
        <v>0</v>
      </c>
      <c r="Q396" t="n">
        <v>0</v>
      </c>
      <c r="R396" s="2" t="inlineStr"/>
    </row>
    <row r="397" ht="15" customHeight="1">
      <c r="A397" t="inlineStr">
        <is>
          <t>A 57399-2024</t>
        </is>
      </c>
      <c r="B397" s="1" t="n">
        <v>45629</v>
      </c>
      <c r="C397" s="1" t="n">
        <v>45877</v>
      </c>
      <c r="D397" t="inlineStr">
        <is>
          <t>GÄVLEBORGS LÄN</t>
        </is>
      </c>
      <c r="E397" t="inlineStr">
        <is>
          <t>HOFORS</t>
        </is>
      </c>
      <c r="G397" t="n">
        <v>3.4</v>
      </c>
      <c r="H397" t="n">
        <v>0</v>
      </c>
      <c r="I397" t="n">
        <v>0</v>
      </c>
      <c r="J397" t="n">
        <v>0</v>
      </c>
      <c r="K397" t="n">
        <v>0</v>
      </c>
      <c r="L397" t="n">
        <v>0</v>
      </c>
      <c r="M397" t="n">
        <v>0</v>
      </c>
      <c r="N397" t="n">
        <v>0</v>
      </c>
      <c r="O397" t="n">
        <v>0</v>
      </c>
      <c r="P397" t="n">
        <v>0</v>
      </c>
      <c r="Q397" t="n">
        <v>0</v>
      </c>
      <c r="R397" s="2" t="inlineStr"/>
    </row>
    <row r="398" ht="15" customHeight="1">
      <c r="A398" t="inlineStr">
        <is>
          <t>A 57400-2024</t>
        </is>
      </c>
      <c r="B398" s="1" t="n">
        <v>45629</v>
      </c>
      <c r="C398" s="1" t="n">
        <v>45877</v>
      </c>
      <c r="D398" t="inlineStr">
        <is>
          <t>GÄVLEBORGS LÄN</t>
        </is>
      </c>
      <c r="E398" t="inlineStr">
        <is>
          <t>HOFORS</t>
        </is>
      </c>
      <c r="G398" t="n">
        <v>2.7</v>
      </c>
      <c r="H398" t="n">
        <v>0</v>
      </c>
      <c r="I398" t="n">
        <v>0</v>
      </c>
      <c r="J398" t="n">
        <v>0</v>
      </c>
      <c r="K398" t="n">
        <v>0</v>
      </c>
      <c r="L398" t="n">
        <v>0</v>
      </c>
      <c r="M398" t="n">
        <v>0</v>
      </c>
      <c r="N398" t="n">
        <v>0</v>
      </c>
      <c r="O398" t="n">
        <v>0</v>
      </c>
      <c r="P398" t="n">
        <v>0</v>
      </c>
      <c r="Q398" t="n">
        <v>0</v>
      </c>
      <c r="R398" s="2" t="inlineStr"/>
    </row>
    <row r="399" ht="15" customHeight="1">
      <c r="A399" t="inlineStr">
        <is>
          <t>A 57751-2024</t>
        </is>
      </c>
      <c r="B399" s="1" t="n">
        <v>45630</v>
      </c>
      <c r="C399" s="1" t="n">
        <v>45877</v>
      </c>
      <c r="D399" t="inlineStr">
        <is>
          <t>GÄVLEBORGS LÄN</t>
        </is>
      </c>
      <c r="E399" t="inlineStr">
        <is>
          <t>HOFORS</t>
        </is>
      </c>
      <c r="G399" t="n">
        <v>1.8</v>
      </c>
      <c r="H399" t="n">
        <v>0</v>
      </c>
      <c r="I399" t="n">
        <v>0</v>
      </c>
      <c r="J399" t="n">
        <v>0</v>
      </c>
      <c r="K399" t="n">
        <v>0</v>
      </c>
      <c r="L399" t="n">
        <v>0</v>
      </c>
      <c r="M399" t="n">
        <v>0</v>
      </c>
      <c r="N399" t="n">
        <v>0</v>
      </c>
      <c r="O399" t="n">
        <v>0</v>
      </c>
      <c r="P399" t="n">
        <v>0</v>
      </c>
      <c r="Q399" t="n">
        <v>0</v>
      </c>
      <c r="R399" s="2" t="inlineStr"/>
    </row>
    <row r="400" ht="15" customHeight="1">
      <c r="A400" t="inlineStr">
        <is>
          <t>A 59130-2024</t>
        </is>
      </c>
      <c r="B400" s="1" t="n">
        <v>45637</v>
      </c>
      <c r="C400" s="1" t="n">
        <v>45877</v>
      </c>
      <c r="D400" t="inlineStr">
        <is>
          <t>GÄVLEBORGS LÄN</t>
        </is>
      </c>
      <c r="E400" t="inlineStr">
        <is>
          <t>HOFORS</t>
        </is>
      </c>
      <c r="G400" t="n">
        <v>1.1</v>
      </c>
      <c r="H400" t="n">
        <v>0</v>
      </c>
      <c r="I400" t="n">
        <v>0</v>
      </c>
      <c r="J400" t="n">
        <v>0</v>
      </c>
      <c r="K400" t="n">
        <v>0</v>
      </c>
      <c r="L400" t="n">
        <v>0</v>
      </c>
      <c r="M400" t="n">
        <v>0</v>
      </c>
      <c r="N400" t="n">
        <v>0</v>
      </c>
      <c r="O400" t="n">
        <v>0</v>
      </c>
      <c r="P400" t="n">
        <v>0</v>
      </c>
      <c r="Q400" t="n">
        <v>0</v>
      </c>
      <c r="R400" s="2" t="inlineStr"/>
    </row>
    <row r="401" ht="15" customHeight="1">
      <c r="A401" t="inlineStr">
        <is>
          <t>A 554-2025</t>
        </is>
      </c>
      <c r="B401" s="1" t="n">
        <v>45664</v>
      </c>
      <c r="C401" s="1" t="n">
        <v>45877</v>
      </c>
      <c r="D401" t="inlineStr">
        <is>
          <t>GÄVLEBORGS LÄN</t>
        </is>
      </c>
      <c r="E401" t="inlineStr">
        <is>
          <t>HOFORS</t>
        </is>
      </c>
      <c r="G401" t="n">
        <v>3</v>
      </c>
      <c r="H401" t="n">
        <v>0</v>
      </c>
      <c r="I401" t="n">
        <v>0</v>
      </c>
      <c r="J401" t="n">
        <v>0</v>
      </c>
      <c r="K401" t="n">
        <v>0</v>
      </c>
      <c r="L401" t="n">
        <v>0</v>
      </c>
      <c r="M401" t="n">
        <v>0</v>
      </c>
      <c r="N401" t="n">
        <v>0</v>
      </c>
      <c r="O401" t="n">
        <v>0</v>
      </c>
      <c r="P401" t="n">
        <v>0</v>
      </c>
      <c r="Q401" t="n">
        <v>0</v>
      </c>
      <c r="R401" s="2" t="inlineStr"/>
    </row>
    <row r="402" ht="15" customHeight="1">
      <c r="A402" t="inlineStr">
        <is>
          <t>A 1828-2025</t>
        </is>
      </c>
      <c r="B402" s="1" t="n">
        <v>45671</v>
      </c>
      <c r="C402" s="1" t="n">
        <v>45877</v>
      </c>
      <c r="D402" t="inlineStr">
        <is>
          <t>GÄVLEBORGS LÄN</t>
        </is>
      </c>
      <c r="E402" t="inlineStr">
        <is>
          <t>HOFORS</t>
        </is>
      </c>
      <c r="G402" t="n">
        <v>4.9</v>
      </c>
      <c r="H402" t="n">
        <v>0</v>
      </c>
      <c r="I402" t="n">
        <v>0</v>
      </c>
      <c r="J402" t="n">
        <v>0</v>
      </c>
      <c r="K402" t="n">
        <v>0</v>
      </c>
      <c r="L402" t="n">
        <v>0</v>
      </c>
      <c r="M402" t="n">
        <v>0</v>
      </c>
      <c r="N402" t="n">
        <v>0</v>
      </c>
      <c r="O402" t="n">
        <v>0</v>
      </c>
      <c r="P402" t="n">
        <v>0</v>
      </c>
      <c r="Q402" t="n">
        <v>0</v>
      </c>
      <c r="R402" s="2" t="inlineStr"/>
    </row>
    <row r="403" ht="15" customHeight="1">
      <c r="A403" t="inlineStr">
        <is>
          <t>A 2612-2025</t>
        </is>
      </c>
      <c r="B403" s="1" t="n">
        <v>45674</v>
      </c>
      <c r="C403" s="1" t="n">
        <v>45877</v>
      </c>
      <c r="D403" t="inlineStr">
        <is>
          <t>GÄVLEBORGS LÄN</t>
        </is>
      </c>
      <c r="E403" t="inlineStr">
        <is>
          <t>HOFORS</t>
        </is>
      </c>
      <c r="G403" t="n">
        <v>3.8</v>
      </c>
      <c r="H403" t="n">
        <v>0</v>
      </c>
      <c r="I403" t="n">
        <v>0</v>
      </c>
      <c r="J403" t="n">
        <v>0</v>
      </c>
      <c r="K403" t="n">
        <v>0</v>
      </c>
      <c r="L403" t="n">
        <v>0</v>
      </c>
      <c r="M403" t="n">
        <v>0</v>
      </c>
      <c r="N403" t="n">
        <v>0</v>
      </c>
      <c r="O403" t="n">
        <v>0</v>
      </c>
      <c r="P403" t="n">
        <v>0</v>
      </c>
      <c r="Q403" t="n">
        <v>0</v>
      </c>
      <c r="R403" s="2" t="inlineStr"/>
    </row>
    <row r="404" ht="15" customHeight="1">
      <c r="A404" t="inlineStr">
        <is>
          <t>A 2915-2025</t>
        </is>
      </c>
      <c r="B404" s="1" t="n">
        <v>45678</v>
      </c>
      <c r="C404" s="1" t="n">
        <v>45877</v>
      </c>
      <c r="D404" t="inlineStr">
        <is>
          <t>GÄVLEBORGS LÄN</t>
        </is>
      </c>
      <c r="E404" t="inlineStr">
        <is>
          <t>HOFORS</t>
        </is>
      </c>
      <c r="G404" t="n">
        <v>1.9</v>
      </c>
      <c r="H404" t="n">
        <v>0</v>
      </c>
      <c r="I404" t="n">
        <v>0</v>
      </c>
      <c r="J404" t="n">
        <v>0</v>
      </c>
      <c r="K404" t="n">
        <v>0</v>
      </c>
      <c r="L404" t="n">
        <v>0</v>
      </c>
      <c r="M404" t="n">
        <v>0</v>
      </c>
      <c r="N404" t="n">
        <v>0</v>
      </c>
      <c r="O404" t="n">
        <v>0</v>
      </c>
      <c r="P404" t="n">
        <v>0</v>
      </c>
      <c r="Q404" t="n">
        <v>0</v>
      </c>
      <c r="R404" s="2" t="inlineStr"/>
    </row>
    <row r="405" ht="15" customHeight="1">
      <c r="A405" t="inlineStr">
        <is>
          <t>A 4032-2025</t>
        </is>
      </c>
      <c r="B405" s="1" t="n">
        <v>45684</v>
      </c>
      <c r="C405" s="1" t="n">
        <v>45877</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3891-2025</t>
        </is>
      </c>
      <c r="B406" s="1" t="n">
        <v>45684</v>
      </c>
      <c r="C406" s="1" t="n">
        <v>45877</v>
      </c>
      <c r="D406" t="inlineStr">
        <is>
          <t>GÄVLEBORGS LÄN</t>
        </is>
      </c>
      <c r="E406" t="inlineStr">
        <is>
          <t>HOFORS</t>
        </is>
      </c>
      <c r="G406" t="n">
        <v>2.4</v>
      </c>
      <c r="H406" t="n">
        <v>0</v>
      </c>
      <c r="I406" t="n">
        <v>0</v>
      </c>
      <c r="J406" t="n">
        <v>0</v>
      </c>
      <c r="K406" t="n">
        <v>0</v>
      </c>
      <c r="L406" t="n">
        <v>0</v>
      </c>
      <c r="M406" t="n">
        <v>0</v>
      </c>
      <c r="N406" t="n">
        <v>0</v>
      </c>
      <c r="O406" t="n">
        <v>0</v>
      </c>
      <c r="P406" t="n">
        <v>0</v>
      </c>
      <c r="Q406" t="n">
        <v>0</v>
      </c>
      <c r="R406" s="2" t="inlineStr"/>
    </row>
    <row r="407" ht="15" customHeight="1">
      <c r="A407" t="inlineStr">
        <is>
          <t>A 8452-2025</t>
        </is>
      </c>
      <c r="B407" s="1" t="n">
        <v>45709</v>
      </c>
      <c r="C407" s="1" t="n">
        <v>45877</v>
      </c>
      <c r="D407" t="inlineStr">
        <is>
          <t>GÄVLEBORGS LÄN</t>
        </is>
      </c>
      <c r="E407" t="inlineStr">
        <is>
          <t>HOFORS</t>
        </is>
      </c>
      <c r="G407" t="n">
        <v>9.4</v>
      </c>
      <c r="H407" t="n">
        <v>0</v>
      </c>
      <c r="I407" t="n">
        <v>0</v>
      </c>
      <c r="J407" t="n">
        <v>0</v>
      </c>
      <c r="K407" t="n">
        <v>0</v>
      </c>
      <c r="L407" t="n">
        <v>0</v>
      </c>
      <c r="M407" t="n">
        <v>0</v>
      </c>
      <c r="N407" t="n">
        <v>0</v>
      </c>
      <c r="O407" t="n">
        <v>0</v>
      </c>
      <c r="P407" t="n">
        <v>0</v>
      </c>
      <c r="Q407" t="n">
        <v>0</v>
      </c>
      <c r="R407" s="2" t="inlineStr"/>
    </row>
    <row r="408" ht="15" customHeight="1">
      <c r="A408" t="inlineStr">
        <is>
          <t>A 8448-2025</t>
        </is>
      </c>
      <c r="B408" s="1" t="n">
        <v>45709</v>
      </c>
      <c r="C408" s="1" t="n">
        <v>45877</v>
      </c>
      <c r="D408" t="inlineStr">
        <is>
          <t>GÄVLEBORGS LÄN</t>
        </is>
      </c>
      <c r="E408" t="inlineStr">
        <is>
          <t>HOFORS</t>
        </is>
      </c>
      <c r="G408" t="n">
        <v>1.7</v>
      </c>
      <c r="H408" t="n">
        <v>0</v>
      </c>
      <c r="I408" t="n">
        <v>0</v>
      </c>
      <c r="J408" t="n">
        <v>0</v>
      </c>
      <c r="K408" t="n">
        <v>0</v>
      </c>
      <c r="L408" t="n">
        <v>0</v>
      </c>
      <c r="M408" t="n">
        <v>0</v>
      </c>
      <c r="N408" t="n">
        <v>0</v>
      </c>
      <c r="O408" t="n">
        <v>0</v>
      </c>
      <c r="P408" t="n">
        <v>0</v>
      </c>
      <c r="Q408" t="n">
        <v>0</v>
      </c>
      <c r="R408" s="2" t="inlineStr"/>
    </row>
    <row r="409" ht="15" customHeight="1">
      <c r="A409" t="inlineStr">
        <is>
          <t>A 10740-2025</t>
        </is>
      </c>
      <c r="B409" s="1" t="n">
        <v>45722</v>
      </c>
      <c r="C409" s="1" t="n">
        <v>45877</v>
      </c>
      <c r="D409" t="inlineStr">
        <is>
          <t>GÄVLEBORGS LÄN</t>
        </is>
      </c>
      <c r="E409" t="inlineStr">
        <is>
          <t>HOFORS</t>
        </is>
      </c>
      <c r="G409" t="n">
        <v>2.7</v>
      </c>
      <c r="H409" t="n">
        <v>0</v>
      </c>
      <c r="I409" t="n">
        <v>0</v>
      </c>
      <c r="J409" t="n">
        <v>0</v>
      </c>
      <c r="K409" t="n">
        <v>0</v>
      </c>
      <c r="L409" t="n">
        <v>0</v>
      </c>
      <c r="M409" t="n">
        <v>0</v>
      </c>
      <c r="N409" t="n">
        <v>0</v>
      </c>
      <c r="O409" t="n">
        <v>0</v>
      </c>
      <c r="P409" t="n">
        <v>0</v>
      </c>
      <c r="Q409" t="n">
        <v>0</v>
      </c>
      <c r="R409" s="2" t="inlineStr"/>
    </row>
    <row r="410" ht="15" customHeight="1">
      <c r="A410" t="inlineStr">
        <is>
          <t>A 11953-2025</t>
        </is>
      </c>
      <c r="B410" s="1" t="n">
        <v>45728</v>
      </c>
      <c r="C410" s="1" t="n">
        <v>45877</v>
      </c>
      <c r="D410" t="inlineStr">
        <is>
          <t>GÄVLEBORGS LÄN</t>
        </is>
      </c>
      <c r="E410" t="inlineStr">
        <is>
          <t>HOFORS</t>
        </is>
      </c>
      <c r="F410" t="inlineStr">
        <is>
          <t>Sveaskog</t>
        </is>
      </c>
      <c r="G410" t="n">
        <v>34.8</v>
      </c>
      <c r="H410" t="n">
        <v>0</v>
      </c>
      <c r="I410" t="n">
        <v>0</v>
      </c>
      <c r="J410" t="n">
        <v>0</v>
      </c>
      <c r="K410" t="n">
        <v>0</v>
      </c>
      <c r="L410" t="n">
        <v>0</v>
      </c>
      <c r="M410" t="n">
        <v>0</v>
      </c>
      <c r="N410" t="n">
        <v>0</v>
      </c>
      <c r="O410" t="n">
        <v>0</v>
      </c>
      <c r="P410" t="n">
        <v>0</v>
      </c>
      <c r="Q410" t="n">
        <v>0</v>
      </c>
      <c r="R410" s="2" t="inlineStr"/>
    </row>
    <row r="411" ht="15" customHeight="1">
      <c r="A411" t="inlineStr">
        <is>
          <t>A 14119-2025</t>
        </is>
      </c>
      <c r="B411" s="1" t="n">
        <v>45740</v>
      </c>
      <c r="C411" s="1" t="n">
        <v>45877</v>
      </c>
      <c r="D411" t="inlineStr">
        <is>
          <t>GÄVLEBORGS LÄN</t>
        </is>
      </c>
      <c r="E411" t="inlineStr">
        <is>
          <t>HOFORS</t>
        </is>
      </c>
      <c r="F411" t="inlineStr">
        <is>
          <t>Bergvik skog öst AB</t>
        </is>
      </c>
      <c r="G411" t="n">
        <v>2.9</v>
      </c>
      <c r="H411" t="n">
        <v>0</v>
      </c>
      <c r="I411" t="n">
        <v>0</v>
      </c>
      <c r="J411" t="n">
        <v>0</v>
      </c>
      <c r="K411" t="n">
        <v>0</v>
      </c>
      <c r="L411" t="n">
        <v>0</v>
      </c>
      <c r="M411" t="n">
        <v>0</v>
      </c>
      <c r="N411" t="n">
        <v>0</v>
      </c>
      <c r="O411" t="n">
        <v>0</v>
      </c>
      <c r="P411" t="n">
        <v>0</v>
      </c>
      <c r="Q411" t="n">
        <v>0</v>
      </c>
      <c r="R411" s="2" t="inlineStr"/>
    </row>
    <row r="412" ht="15" customHeight="1">
      <c r="A412" t="inlineStr">
        <is>
          <t>A 17185-2025</t>
        </is>
      </c>
      <c r="B412" s="1" t="n">
        <v>45755</v>
      </c>
      <c r="C412" s="1" t="n">
        <v>45877</v>
      </c>
      <c r="D412" t="inlineStr">
        <is>
          <t>GÄVLEBORGS LÄN</t>
        </is>
      </c>
      <c r="E412" t="inlineStr">
        <is>
          <t>HOFORS</t>
        </is>
      </c>
      <c r="F412" t="inlineStr">
        <is>
          <t>Bergvik skog väst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17179-2025</t>
        </is>
      </c>
      <c r="B413" s="1" t="n">
        <v>45755</v>
      </c>
      <c r="C413" s="1" t="n">
        <v>45877</v>
      </c>
      <c r="D413" t="inlineStr">
        <is>
          <t>GÄVLEBORGS LÄN</t>
        </is>
      </c>
      <c r="E413" t="inlineStr">
        <is>
          <t>HOFORS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18347-2025</t>
        </is>
      </c>
      <c r="B414" s="1" t="n">
        <v>45762</v>
      </c>
      <c r="C414" s="1" t="n">
        <v>45877</v>
      </c>
      <c r="D414" t="inlineStr">
        <is>
          <t>GÄVLEBORGS LÄN</t>
        </is>
      </c>
      <c r="E414" t="inlineStr">
        <is>
          <t>HOFORS</t>
        </is>
      </c>
      <c r="G414" t="n">
        <v>3.8</v>
      </c>
      <c r="H414" t="n">
        <v>0</v>
      </c>
      <c r="I414" t="n">
        <v>0</v>
      </c>
      <c r="J414" t="n">
        <v>0</v>
      </c>
      <c r="K414" t="n">
        <v>0</v>
      </c>
      <c r="L414" t="n">
        <v>0</v>
      </c>
      <c r="M414" t="n">
        <v>0</v>
      </c>
      <c r="N414" t="n">
        <v>0</v>
      </c>
      <c r="O414" t="n">
        <v>0</v>
      </c>
      <c r="P414" t="n">
        <v>0</v>
      </c>
      <c r="Q414" t="n">
        <v>0</v>
      </c>
      <c r="R414" s="2" t="inlineStr"/>
    </row>
    <row r="415" ht="15" customHeight="1">
      <c r="A415" t="inlineStr">
        <is>
          <t>A 20543-2025</t>
        </is>
      </c>
      <c r="B415" s="1" t="n">
        <v>45775</v>
      </c>
      <c r="C415" s="1" t="n">
        <v>45877</v>
      </c>
      <c r="D415" t="inlineStr">
        <is>
          <t>GÄVLEBORGS LÄN</t>
        </is>
      </c>
      <c r="E415" t="inlineStr">
        <is>
          <t>HOFORS</t>
        </is>
      </c>
      <c r="G415" t="n">
        <v>4.3</v>
      </c>
      <c r="H415" t="n">
        <v>0</v>
      </c>
      <c r="I415" t="n">
        <v>0</v>
      </c>
      <c r="J415" t="n">
        <v>0</v>
      </c>
      <c r="K415" t="n">
        <v>0</v>
      </c>
      <c r="L415" t="n">
        <v>0</v>
      </c>
      <c r="M415" t="n">
        <v>0</v>
      </c>
      <c r="N415" t="n">
        <v>0</v>
      </c>
      <c r="O415" t="n">
        <v>0</v>
      </c>
      <c r="P415" t="n">
        <v>0</v>
      </c>
      <c r="Q415" t="n">
        <v>0</v>
      </c>
      <c r="R415" s="2" t="inlineStr"/>
    </row>
    <row r="416" ht="15" customHeight="1">
      <c r="A416" t="inlineStr">
        <is>
          <t>A 20972-2025</t>
        </is>
      </c>
      <c r="B416" s="1" t="n">
        <v>45777</v>
      </c>
      <c r="C416" s="1" t="n">
        <v>45877</v>
      </c>
      <c r="D416" t="inlineStr">
        <is>
          <t>GÄVLEBORGS LÄN</t>
        </is>
      </c>
      <c r="E416" t="inlineStr">
        <is>
          <t>HOFORS</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21340-2025</t>
        </is>
      </c>
      <c r="B417" s="1" t="n">
        <v>45782</v>
      </c>
      <c r="C417" s="1" t="n">
        <v>45877</v>
      </c>
      <c r="D417" t="inlineStr">
        <is>
          <t>GÄVLEBORGS LÄN</t>
        </is>
      </c>
      <c r="E417" t="inlineStr">
        <is>
          <t>HOFORS</t>
        </is>
      </c>
      <c r="G417" t="n">
        <v>1</v>
      </c>
      <c r="H417" t="n">
        <v>0</v>
      </c>
      <c r="I417" t="n">
        <v>0</v>
      </c>
      <c r="J417" t="n">
        <v>0</v>
      </c>
      <c r="K417" t="n">
        <v>0</v>
      </c>
      <c r="L417" t="n">
        <v>0</v>
      </c>
      <c r="M417" t="n">
        <v>0</v>
      </c>
      <c r="N417" t="n">
        <v>0</v>
      </c>
      <c r="O417" t="n">
        <v>0</v>
      </c>
      <c r="P417" t="n">
        <v>0</v>
      </c>
      <c r="Q417" t="n">
        <v>0</v>
      </c>
      <c r="R417" s="2" t="inlineStr"/>
    </row>
    <row r="418" ht="15" customHeight="1">
      <c r="A418" t="inlineStr">
        <is>
          <t>A 22844-2025</t>
        </is>
      </c>
      <c r="B418" s="1" t="n">
        <v>45790</v>
      </c>
      <c r="C418" s="1" t="n">
        <v>45877</v>
      </c>
      <c r="D418" t="inlineStr">
        <is>
          <t>GÄVLEBORGS LÄN</t>
        </is>
      </c>
      <c r="E418" t="inlineStr">
        <is>
          <t>HOFORS</t>
        </is>
      </c>
      <c r="G418" t="n">
        <v>3</v>
      </c>
      <c r="H418" t="n">
        <v>0</v>
      </c>
      <c r="I418" t="n">
        <v>0</v>
      </c>
      <c r="J418" t="n">
        <v>0</v>
      </c>
      <c r="K418" t="n">
        <v>0</v>
      </c>
      <c r="L418" t="n">
        <v>0</v>
      </c>
      <c r="M418" t="n">
        <v>0</v>
      </c>
      <c r="N418" t="n">
        <v>0</v>
      </c>
      <c r="O418" t="n">
        <v>0</v>
      </c>
      <c r="P418" t="n">
        <v>0</v>
      </c>
      <c r="Q418" t="n">
        <v>0</v>
      </c>
      <c r="R418" s="2" t="inlineStr"/>
    </row>
    <row r="419" ht="15" customHeight="1">
      <c r="A419" t="inlineStr">
        <is>
          <t>A 23077-2025</t>
        </is>
      </c>
      <c r="B419" s="1" t="n">
        <v>45791</v>
      </c>
      <c r="C419" s="1" t="n">
        <v>45877</v>
      </c>
      <c r="D419" t="inlineStr">
        <is>
          <t>GÄVLEBORGS LÄN</t>
        </is>
      </c>
      <c r="E419" t="inlineStr">
        <is>
          <t>HOFORS</t>
        </is>
      </c>
      <c r="G419" t="n">
        <v>3.3</v>
      </c>
      <c r="H419" t="n">
        <v>0</v>
      </c>
      <c r="I419" t="n">
        <v>0</v>
      </c>
      <c r="J419" t="n">
        <v>0</v>
      </c>
      <c r="K419" t="n">
        <v>0</v>
      </c>
      <c r="L419" t="n">
        <v>0</v>
      </c>
      <c r="M419" t="n">
        <v>0</v>
      </c>
      <c r="N419" t="n">
        <v>0</v>
      </c>
      <c r="O419" t="n">
        <v>0</v>
      </c>
      <c r="P419" t="n">
        <v>0</v>
      </c>
      <c r="Q419" t="n">
        <v>0</v>
      </c>
      <c r="R419" s="2" t="inlineStr"/>
    </row>
    <row r="420" ht="15" customHeight="1">
      <c r="A420" t="inlineStr">
        <is>
          <t>A 23545-2025</t>
        </is>
      </c>
      <c r="B420" s="1" t="n">
        <v>45792</v>
      </c>
      <c r="C420" s="1" t="n">
        <v>45877</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23666-2025</t>
        </is>
      </c>
      <c r="B421" s="1" t="n">
        <v>45792</v>
      </c>
      <c r="C421" s="1" t="n">
        <v>45877</v>
      </c>
      <c r="D421" t="inlineStr">
        <is>
          <t>GÄVLEBORGS LÄN</t>
        </is>
      </c>
      <c r="E421" t="inlineStr">
        <is>
          <t>HOFORS</t>
        </is>
      </c>
      <c r="G421" t="n">
        <v>0.4</v>
      </c>
      <c r="H421" t="n">
        <v>0</v>
      </c>
      <c r="I421" t="n">
        <v>0</v>
      </c>
      <c r="J421" t="n">
        <v>0</v>
      </c>
      <c r="K421" t="n">
        <v>0</v>
      </c>
      <c r="L421" t="n">
        <v>0</v>
      </c>
      <c r="M421" t="n">
        <v>0</v>
      </c>
      <c r="N421" t="n">
        <v>0</v>
      </c>
      <c r="O421" t="n">
        <v>0</v>
      </c>
      <c r="P421" t="n">
        <v>0</v>
      </c>
      <c r="Q421" t="n">
        <v>0</v>
      </c>
      <c r="R421" s="2" t="inlineStr"/>
    </row>
    <row r="422" ht="15" customHeight="1">
      <c r="A422" t="inlineStr">
        <is>
          <t>A 24395-2025</t>
        </is>
      </c>
      <c r="B422" s="1" t="n">
        <v>45797</v>
      </c>
      <c r="C422" s="1" t="n">
        <v>45877</v>
      </c>
      <c r="D422" t="inlineStr">
        <is>
          <t>GÄVLEBORGS LÄN</t>
        </is>
      </c>
      <c r="E422" t="inlineStr">
        <is>
          <t>HOFORS</t>
        </is>
      </c>
      <c r="G422" t="n">
        <v>3.5</v>
      </c>
      <c r="H422" t="n">
        <v>0</v>
      </c>
      <c r="I422" t="n">
        <v>0</v>
      </c>
      <c r="J422" t="n">
        <v>0</v>
      </c>
      <c r="K422" t="n">
        <v>0</v>
      </c>
      <c r="L422" t="n">
        <v>0</v>
      </c>
      <c r="M422" t="n">
        <v>0</v>
      </c>
      <c r="N422" t="n">
        <v>0</v>
      </c>
      <c r="O422" t="n">
        <v>0</v>
      </c>
      <c r="P422" t="n">
        <v>0</v>
      </c>
      <c r="Q422" t="n">
        <v>0</v>
      </c>
      <c r="R422" s="2" t="inlineStr"/>
    </row>
    <row r="423" ht="15" customHeight="1">
      <c r="A423" t="inlineStr">
        <is>
          <t>A 25401-2025</t>
        </is>
      </c>
      <c r="B423" s="1" t="n">
        <v>45800</v>
      </c>
      <c r="C423" s="1" t="n">
        <v>45877</v>
      </c>
      <c r="D423" t="inlineStr">
        <is>
          <t>GÄVLEBORGS LÄN</t>
        </is>
      </c>
      <c r="E423" t="inlineStr">
        <is>
          <t>HOFORS</t>
        </is>
      </c>
      <c r="G423" t="n">
        <v>3.3</v>
      </c>
      <c r="H423" t="n">
        <v>0</v>
      </c>
      <c r="I423" t="n">
        <v>0</v>
      </c>
      <c r="J423" t="n">
        <v>0</v>
      </c>
      <c r="K423" t="n">
        <v>0</v>
      </c>
      <c r="L423" t="n">
        <v>0</v>
      </c>
      <c r="M423" t="n">
        <v>0</v>
      </c>
      <c r="N423" t="n">
        <v>0</v>
      </c>
      <c r="O423" t="n">
        <v>0</v>
      </c>
      <c r="P423" t="n">
        <v>0</v>
      </c>
      <c r="Q423" t="n">
        <v>0</v>
      </c>
      <c r="R423" s="2" t="inlineStr"/>
    </row>
    <row r="424" ht="15" customHeight="1">
      <c r="A424" t="inlineStr">
        <is>
          <t>A 25263-2025</t>
        </is>
      </c>
      <c r="B424" s="1" t="n">
        <v>45800</v>
      </c>
      <c r="C424" s="1" t="n">
        <v>45877</v>
      </c>
      <c r="D424" t="inlineStr">
        <is>
          <t>GÄVLEBORGS LÄN</t>
        </is>
      </c>
      <c r="E424" t="inlineStr">
        <is>
          <t>HOFORS</t>
        </is>
      </c>
      <c r="G424" t="n">
        <v>4.2</v>
      </c>
      <c r="H424" t="n">
        <v>0</v>
      </c>
      <c r="I424" t="n">
        <v>0</v>
      </c>
      <c r="J424" t="n">
        <v>0</v>
      </c>
      <c r="K424" t="n">
        <v>0</v>
      </c>
      <c r="L424" t="n">
        <v>0</v>
      </c>
      <c r="M424" t="n">
        <v>0</v>
      </c>
      <c r="N424" t="n">
        <v>0</v>
      </c>
      <c r="O424" t="n">
        <v>0</v>
      </c>
      <c r="P424" t="n">
        <v>0</v>
      </c>
      <c r="Q424" t="n">
        <v>0</v>
      </c>
      <c r="R424" s="2" t="inlineStr"/>
    </row>
    <row r="425" ht="15" customHeight="1">
      <c r="A425" t="inlineStr">
        <is>
          <t>A 26297-2025</t>
        </is>
      </c>
      <c r="B425" s="1" t="n">
        <v>45805</v>
      </c>
      <c r="C425" s="1" t="n">
        <v>45877</v>
      </c>
      <c r="D425" t="inlineStr">
        <is>
          <t>GÄVLEBORGS LÄN</t>
        </is>
      </c>
      <c r="E425" t="inlineStr">
        <is>
          <t>HOFORS</t>
        </is>
      </c>
      <c r="G425" t="n">
        <v>10.5</v>
      </c>
      <c r="H425" t="n">
        <v>0</v>
      </c>
      <c r="I425" t="n">
        <v>0</v>
      </c>
      <c r="J425" t="n">
        <v>0</v>
      </c>
      <c r="K425" t="n">
        <v>0</v>
      </c>
      <c r="L425" t="n">
        <v>0</v>
      </c>
      <c r="M425" t="n">
        <v>0</v>
      </c>
      <c r="N425" t="n">
        <v>0</v>
      </c>
      <c r="O425" t="n">
        <v>0</v>
      </c>
      <c r="P425" t="n">
        <v>0</v>
      </c>
      <c r="Q425" t="n">
        <v>0</v>
      </c>
      <c r="R425" s="2" t="inlineStr"/>
    </row>
    <row r="426" ht="15" customHeight="1">
      <c r="A426" t="inlineStr">
        <is>
          <t>A 26302-2025</t>
        </is>
      </c>
      <c r="B426" s="1" t="n">
        <v>45805</v>
      </c>
      <c r="C426" s="1" t="n">
        <v>45877</v>
      </c>
      <c r="D426" t="inlineStr">
        <is>
          <t>GÄVLEBORGS LÄN</t>
        </is>
      </c>
      <c r="E426" t="inlineStr">
        <is>
          <t>HOFORS</t>
        </is>
      </c>
      <c r="G426" t="n">
        <v>5.3</v>
      </c>
      <c r="H426" t="n">
        <v>0</v>
      </c>
      <c r="I426" t="n">
        <v>0</v>
      </c>
      <c r="J426" t="n">
        <v>0</v>
      </c>
      <c r="K426" t="n">
        <v>0</v>
      </c>
      <c r="L426" t="n">
        <v>0</v>
      </c>
      <c r="M426" t="n">
        <v>0</v>
      </c>
      <c r="N426" t="n">
        <v>0</v>
      </c>
      <c r="O426" t="n">
        <v>0</v>
      </c>
      <c r="P426" t="n">
        <v>0</v>
      </c>
      <c r="Q426" t="n">
        <v>0</v>
      </c>
      <c r="R426" s="2" t="inlineStr"/>
    </row>
    <row r="427" ht="15" customHeight="1">
      <c r="A427" t="inlineStr">
        <is>
          <t>A 26753-2025</t>
        </is>
      </c>
      <c r="B427" s="1" t="n">
        <v>45810</v>
      </c>
      <c r="C427" s="1" t="n">
        <v>45877</v>
      </c>
      <c r="D427" t="inlineStr">
        <is>
          <t>GÄVLEBORGS LÄN</t>
        </is>
      </c>
      <c r="E427" t="inlineStr">
        <is>
          <t>HOFORS</t>
        </is>
      </c>
      <c r="G427" t="n">
        <v>1.4</v>
      </c>
      <c r="H427" t="n">
        <v>0</v>
      </c>
      <c r="I427" t="n">
        <v>0</v>
      </c>
      <c r="J427" t="n">
        <v>0</v>
      </c>
      <c r="K427" t="n">
        <v>0</v>
      </c>
      <c r="L427" t="n">
        <v>0</v>
      </c>
      <c r="M427" t="n">
        <v>0</v>
      </c>
      <c r="N427" t="n">
        <v>0</v>
      </c>
      <c r="O427" t="n">
        <v>0</v>
      </c>
      <c r="P427" t="n">
        <v>0</v>
      </c>
      <c r="Q427" t="n">
        <v>0</v>
      </c>
      <c r="R427" s="2" t="inlineStr"/>
    </row>
    <row r="428" ht="15" customHeight="1">
      <c r="A428" t="inlineStr">
        <is>
          <t>A 27431-2025</t>
        </is>
      </c>
      <c r="B428" s="1" t="n">
        <v>45813</v>
      </c>
      <c r="C428" s="1" t="n">
        <v>45877</v>
      </c>
      <c r="D428" t="inlineStr">
        <is>
          <t>GÄVLEBORGS LÄN</t>
        </is>
      </c>
      <c r="E428" t="inlineStr">
        <is>
          <t>HOFORS</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27436-2025</t>
        </is>
      </c>
      <c r="B429" s="1" t="n">
        <v>45813</v>
      </c>
      <c r="C429" s="1" t="n">
        <v>45877</v>
      </c>
      <c r="D429" t="inlineStr">
        <is>
          <t>GÄVLEBORGS LÄN</t>
        </is>
      </c>
      <c r="E429" t="inlineStr">
        <is>
          <t>HOFORS</t>
        </is>
      </c>
      <c r="F429" t="inlineStr">
        <is>
          <t>Sveaskog</t>
        </is>
      </c>
      <c r="G429" t="n">
        <v>5.5</v>
      </c>
      <c r="H429" t="n">
        <v>0</v>
      </c>
      <c r="I429" t="n">
        <v>0</v>
      </c>
      <c r="J429" t="n">
        <v>0</v>
      </c>
      <c r="K429" t="n">
        <v>0</v>
      </c>
      <c r="L429" t="n">
        <v>0</v>
      </c>
      <c r="M429" t="n">
        <v>0</v>
      </c>
      <c r="N429" t="n">
        <v>0</v>
      </c>
      <c r="O429" t="n">
        <v>0</v>
      </c>
      <c r="P429" t="n">
        <v>0</v>
      </c>
      <c r="Q429" t="n">
        <v>0</v>
      </c>
      <c r="R429" s="2" t="inlineStr"/>
    </row>
    <row r="430" ht="15" customHeight="1">
      <c r="A430" t="inlineStr">
        <is>
          <t>A 27441-2025</t>
        </is>
      </c>
      <c r="B430" s="1" t="n">
        <v>45813</v>
      </c>
      <c r="C430" s="1" t="n">
        <v>45877</v>
      </c>
      <c r="D430" t="inlineStr">
        <is>
          <t>GÄVLEBORGS LÄN</t>
        </is>
      </c>
      <c r="E430" t="inlineStr">
        <is>
          <t>HOFORS</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27432-2025</t>
        </is>
      </c>
      <c r="B431" s="1" t="n">
        <v>45813</v>
      </c>
      <c r="C431" s="1" t="n">
        <v>45877</v>
      </c>
      <c r="D431" t="inlineStr">
        <is>
          <t>GÄVLEBORGS LÄN</t>
        </is>
      </c>
      <c r="E431" t="inlineStr">
        <is>
          <t>HOFORS</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27438-2025</t>
        </is>
      </c>
      <c r="B432" s="1" t="n">
        <v>45813</v>
      </c>
      <c r="C432" s="1" t="n">
        <v>45877</v>
      </c>
      <c r="D432" t="inlineStr">
        <is>
          <t>GÄVLEBORGS LÄN</t>
        </is>
      </c>
      <c r="E432" t="inlineStr">
        <is>
          <t>HOFORS</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27959-2025</t>
        </is>
      </c>
      <c r="B433" s="1" t="n">
        <v>45816</v>
      </c>
      <c r="C433" s="1" t="n">
        <v>45877</v>
      </c>
      <c r="D433" t="inlineStr">
        <is>
          <t>GÄVLEBORGS LÄN</t>
        </is>
      </c>
      <c r="E433" t="inlineStr">
        <is>
          <t>HOFORS</t>
        </is>
      </c>
      <c r="F433" t="inlineStr">
        <is>
          <t>Bergvik skog väst AB</t>
        </is>
      </c>
      <c r="G433" t="n">
        <v>45.6</v>
      </c>
      <c r="H433" t="n">
        <v>0</v>
      </c>
      <c r="I433" t="n">
        <v>0</v>
      </c>
      <c r="J433" t="n">
        <v>0</v>
      </c>
      <c r="K433" t="n">
        <v>0</v>
      </c>
      <c r="L433" t="n">
        <v>0</v>
      </c>
      <c r="M433" t="n">
        <v>0</v>
      </c>
      <c r="N433" t="n">
        <v>0</v>
      </c>
      <c r="O433" t="n">
        <v>0</v>
      </c>
      <c r="P433" t="n">
        <v>0</v>
      </c>
      <c r="Q433" t="n">
        <v>0</v>
      </c>
      <c r="R433" s="2" t="inlineStr"/>
    </row>
    <row r="434" ht="15" customHeight="1">
      <c r="A434" t="inlineStr">
        <is>
          <t>A 30495-2025</t>
        </is>
      </c>
      <c r="B434" s="1" t="n">
        <v>45830</v>
      </c>
      <c r="C434" s="1" t="n">
        <v>45877</v>
      </c>
      <c r="D434" t="inlineStr">
        <is>
          <t>GÄVLEBORGS LÄN</t>
        </is>
      </c>
      <c r="E434" t="inlineStr">
        <is>
          <t>HOFORS</t>
        </is>
      </c>
      <c r="G434" t="n">
        <v>1</v>
      </c>
      <c r="H434" t="n">
        <v>0</v>
      </c>
      <c r="I434" t="n">
        <v>0</v>
      </c>
      <c r="J434" t="n">
        <v>0</v>
      </c>
      <c r="K434" t="n">
        <v>0</v>
      </c>
      <c r="L434" t="n">
        <v>0</v>
      </c>
      <c r="M434" t="n">
        <v>0</v>
      </c>
      <c r="N434" t="n">
        <v>0</v>
      </c>
      <c r="O434" t="n">
        <v>0</v>
      </c>
      <c r="P434" t="n">
        <v>0</v>
      </c>
      <c r="Q434" t="n">
        <v>0</v>
      </c>
      <c r="R434" s="2" t="inlineStr"/>
    </row>
    <row r="435" ht="15" customHeight="1">
      <c r="A435" t="inlineStr">
        <is>
          <t>A 31471-2025</t>
        </is>
      </c>
      <c r="B435" s="1" t="n">
        <v>45833</v>
      </c>
      <c r="C435" s="1" t="n">
        <v>45877</v>
      </c>
      <c r="D435" t="inlineStr">
        <is>
          <t>GÄVLEBORGS LÄN</t>
        </is>
      </c>
      <c r="E435" t="inlineStr">
        <is>
          <t>HOFORS</t>
        </is>
      </c>
      <c r="G435" t="n">
        <v>1.6</v>
      </c>
      <c r="H435" t="n">
        <v>0</v>
      </c>
      <c r="I435" t="n">
        <v>0</v>
      </c>
      <c r="J435" t="n">
        <v>0</v>
      </c>
      <c r="K435" t="n">
        <v>0</v>
      </c>
      <c r="L435" t="n">
        <v>0</v>
      </c>
      <c r="M435" t="n">
        <v>0</v>
      </c>
      <c r="N435" t="n">
        <v>0</v>
      </c>
      <c r="O435" t="n">
        <v>0</v>
      </c>
      <c r="P435" t="n">
        <v>0</v>
      </c>
      <c r="Q435" t="n">
        <v>0</v>
      </c>
      <c r="R435" s="2" t="inlineStr"/>
    </row>
    <row r="436" ht="15" customHeight="1">
      <c r="A436" t="inlineStr">
        <is>
          <t>A 32299-2025</t>
        </is>
      </c>
      <c r="B436" s="1" t="n">
        <v>45835</v>
      </c>
      <c r="C436" s="1" t="n">
        <v>45877</v>
      </c>
      <c r="D436" t="inlineStr">
        <is>
          <t>GÄVLEBORGS LÄN</t>
        </is>
      </c>
      <c r="E436" t="inlineStr">
        <is>
          <t>HOFORS</t>
        </is>
      </c>
      <c r="F436" t="inlineStr">
        <is>
          <t>Bergvik skog väst AB</t>
        </is>
      </c>
      <c r="G436" t="n">
        <v>12.8</v>
      </c>
      <c r="H436" t="n">
        <v>0</v>
      </c>
      <c r="I436" t="n">
        <v>0</v>
      </c>
      <c r="J436" t="n">
        <v>0</v>
      </c>
      <c r="K436" t="n">
        <v>0</v>
      </c>
      <c r="L436" t="n">
        <v>0</v>
      </c>
      <c r="M436" t="n">
        <v>0</v>
      </c>
      <c r="N436" t="n">
        <v>0</v>
      </c>
      <c r="O436" t="n">
        <v>0</v>
      </c>
      <c r="P436" t="n">
        <v>0</v>
      </c>
      <c r="Q436" t="n">
        <v>0</v>
      </c>
      <c r="R436" s="2" t="inlineStr"/>
    </row>
    <row r="437" ht="15" customHeight="1">
      <c r="A437" t="inlineStr">
        <is>
          <t>A 35475-2025</t>
        </is>
      </c>
      <c r="B437" s="1" t="n">
        <v>45855</v>
      </c>
      <c r="C437" s="1" t="n">
        <v>45877</v>
      </c>
      <c r="D437" t="inlineStr">
        <is>
          <t>GÄVLEBORGS LÄN</t>
        </is>
      </c>
      <c r="E437" t="inlineStr">
        <is>
          <t>HOFORS</t>
        </is>
      </c>
      <c r="G437" t="n">
        <v>0.8</v>
      </c>
      <c r="H437" t="n">
        <v>0</v>
      </c>
      <c r="I437" t="n">
        <v>0</v>
      </c>
      <c r="J437" t="n">
        <v>0</v>
      </c>
      <c r="K437" t="n">
        <v>0</v>
      </c>
      <c r="L437" t="n">
        <v>0</v>
      </c>
      <c r="M437" t="n">
        <v>0</v>
      </c>
      <c r="N437" t="n">
        <v>0</v>
      </c>
      <c r="O437" t="n">
        <v>0</v>
      </c>
      <c r="P437" t="n">
        <v>0</v>
      </c>
      <c r="Q437" t="n">
        <v>0</v>
      </c>
      <c r="R437" s="2" t="inlineStr"/>
    </row>
    <row r="438" ht="15" customHeight="1">
      <c r="A438" t="inlineStr">
        <is>
          <t>A 35473-2025</t>
        </is>
      </c>
      <c r="B438" s="1" t="n">
        <v>45855</v>
      </c>
      <c r="C438" s="1" t="n">
        <v>45877</v>
      </c>
      <c r="D438" t="inlineStr">
        <is>
          <t>GÄVLEBORGS LÄN</t>
        </is>
      </c>
      <c r="E438" t="inlineStr">
        <is>
          <t>HOFORS</t>
        </is>
      </c>
      <c r="G438" t="n">
        <v>3.3</v>
      </c>
      <c r="H438" t="n">
        <v>0</v>
      </c>
      <c r="I438" t="n">
        <v>0</v>
      </c>
      <c r="J438" t="n">
        <v>0</v>
      </c>
      <c r="K438" t="n">
        <v>0</v>
      </c>
      <c r="L438" t="n">
        <v>0</v>
      </c>
      <c r="M438" t="n">
        <v>0</v>
      </c>
      <c r="N438" t="n">
        <v>0</v>
      </c>
      <c r="O438" t="n">
        <v>0</v>
      </c>
      <c r="P438" t="n">
        <v>0</v>
      </c>
      <c r="Q438" t="n">
        <v>0</v>
      </c>
      <c r="R438" s="2" t="inlineStr"/>
    </row>
    <row r="439" ht="15" customHeight="1">
      <c r="A439" t="inlineStr">
        <is>
          <t>A 35742-2025</t>
        </is>
      </c>
      <c r="B439" s="1" t="n">
        <v>45860</v>
      </c>
      <c r="C439" s="1" t="n">
        <v>45877</v>
      </c>
      <c r="D439" t="inlineStr">
        <is>
          <t>GÄVLEBORGS LÄN</t>
        </is>
      </c>
      <c r="E439" t="inlineStr">
        <is>
          <t>HOFORS</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35741-2025</t>
        </is>
      </c>
      <c r="B440" s="1" t="n">
        <v>45860</v>
      </c>
      <c r="C440" s="1" t="n">
        <v>45877</v>
      </c>
      <c r="D440" t="inlineStr">
        <is>
          <t>GÄVLEBORGS LÄN</t>
        </is>
      </c>
      <c r="E440" t="inlineStr">
        <is>
          <t>HOFORS</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36180-2025</t>
        </is>
      </c>
      <c r="B441" s="1" t="n">
        <v>45867</v>
      </c>
      <c r="C441" s="1" t="n">
        <v>45877</v>
      </c>
      <c r="D441" t="inlineStr">
        <is>
          <t>GÄVLEBORGS LÄN</t>
        </is>
      </c>
      <c r="E441" t="inlineStr">
        <is>
          <t>HOFORS</t>
        </is>
      </c>
      <c r="G441" t="n">
        <v>11.7</v>
      </c>
      <c r="H441" t="n">
        <v>0</v>
      </c>
      <c r="I441" t="n">
        <v>0</v>
      </c>
      <c r="J441" t="n">
        <v>0</v>
      </c>
      <c r="K441" t="n">
        <v>0</v>
      </c>
      <c r="L441" t="n">
        <v>0</v>
      </c>
      <c r="M441" t="n">
        <v>0</v>
      </c>
      <c r="N441" t="n">
        <v>0</v>
      </c>
      <c r="O441" t="n">
        <v>0</v>
      </c>
      <c r="P441" t="n">
        <v>0</v>
      </c>
      <c r="Q441" t="n">
        <v>0</v>
      </c>
      <c r="R441" s="2" t="inlineStr"/>
    </row>
    <row r="442" ht="15" customHeight="1">
      <c r="A442" t="inlineStr">
        <is>
          <t>A 36349-2025</t>
        </is>
      </c>
      <c r="B442" s="1" t="n">
        <v>45868</v>
      </c>
      <c r="C442" s="1" t="n">
        <v>45877</v>
      </c>
      <c r="D442" t="inlineStr">
        <is>
          <t>GÄVLEBORGS LÄN</t>
        </is>
      </c>
      <c r="E442" t="inlineStr">
        <is>
          <t>HOFORS</t>
        </is>
      </c>
      <c r="G442" t="n">
        <v>2.7</v>
      </c>
      <c r="H442" t="n">
        <v>0</v>
      </c>
      <c r="I442" t="n">
        <v>0</v>
      </c>
      <c r="J442" t="n">
        <v>0</v>
      </c>
      <c r="K442" t="n">
        <v>0</v>
      </c>
      <c r="L442" t="n">
        <v>0</v>
      </c>
      <c r="M442" t="n">
        <v>0</v>
      </c>
      <c r="N442" t="n">
        <v>0</v>
      </c>
      <c r="O442" t="n">
        <v>0</v>
      </c>
      <c r="P442" t="n">
        <v>0</v>
      </c>
      <c r="Q442" t="n">
        <v>0</v>
      </c>
      <c r="R442" s="2" t="inlineStr"/>
    </row>
    <row r="443" ht="15" customHeight="1">
      <c r="A443" t="inlineStr">
        <is>
          <t>A 37011-2025</t>
        </is>
      </c>
      <c r="B443" s="1" t="n">
        <v>45874</v>
      </c>
      <c r="C443" s="1" t="n">
        <v>45877</v>
      </c>
      <c r="D443" t="inlineStr">
        <is>
          <t>GÄVLEBORGS LÄN</t>
        </is>
      </c>
      <c r="E443" t="inlineStr">
        <is>
          <t>HOFORS</t>
        </is>
      </c>
      <c r="F443" t="inlineStr">
        <is>
          <t>Sveaskog</t>
        </is>
      </c>
      <c r="G443" t="n">
        <v>3</v>
      </c>
      <c r="H443" t="n">
        <v>0</v>
      </c>
      <c r="I443" t="n">
        <v>0</v>
      </c>
      <c r="J443" t="n">
        <v>0</v>
      </c>
      <c r="K443" t="n">
        <v>0</v>
      </c>
      <c r="L443" t="n">
        <v>0</v>
      </c>
      <c r="M443" t="n">
        <v>0</v>
      </c>
      <c r="N443" t="n">
        <v>0</v>
      </c>
      <c r="O443" t="n">
        <v>0</v>
      </c>
      <c r="P443" t="n">
        <v>0</v>
      </c>
      <c r="Q443" t="n">
        <v>0</v>
      </c>
      <c r="R443" s="2" t="inlineStr"/>
      <c r="U443">
        <f>HYPERLINK("https://klasma.github.io/Logging_212104/knärot/A 37011-2025 karta knärot.png", "A 37011-2025")</f>
        <v/>
      </c>
      <c r="V443">
        <f>HYPERLINK("https://klasma.github.io/Logging_212104/klagomål/A 37011-2025 FSC-klagomål.docx", "A 37011-2025")</f>
        <v/>
      </c>
      <c r="W443">
        <f>HYPERLINK("https://klasma.github.io/Logging_212104/klagomålsmail/A 37011-2025 FSC-klagomål mail.docx", "A 37011-2025")</f>
        <v/>
      </c>
      <c r="X443">
        <f>HYPERLINK("https://klasma.github.io/Logging_212104/tillsyn/A 37011-2025 tillsynsbegäran.docx", "A 37011-2025")</f>
        <v/>
      </c>
      <c r="Y443">
        <f>HYPERLINK("https://klasma.github.io/Logging_212104/tillsynsmail/A 37011-2025 tillsynsbegäran mail.docx", "A 37011-2025")</f>
        <v/>
      </c>
    </row>
    <row r="444">
      <c r="A444" t="inlineStr">
        <is>
          <t>A 37012-2025</t>
        </is>
      </c>
      <c r="B444" s="1" t="n">
        <v>45874</v>
      </c>
      <c r="C444" s="1" t="n">
        <v>45877</v>
      </c>
      <c r="D444" t="inlineStr">
        <is>
          <t>GÄVLEBORGS LÄN</t>
        </is>
      </c>
      <c r="E444" t="inlineStr">
        <is>
          <t>HOFORS</t>
        </is>
      </c>
      <c r="F444" t="inlineStr">
        <is>
          <t>Sveaskog</t>
        </is>
      </c>
      <c r="G444" t="n">
        <v>3.7</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2025-08-09T00:57:33Z</dcterms:created>
  <dcterms:modified xmlns:dcterms="http://purl.org/dc/terms/" xmlns:xsi="http://www.w3.org/2001/XMLSchema-instance" xsi:type="dcterms:W3CDTF">2025-08-09T00:57:33Z</dcterms:modified>
</cp:coreProperties>
</file>