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45901</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45901</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45901</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45901</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45901</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45901</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35521-2024</t>
        </is>
      </c>
      <c r="B14" s="1" t="n">
        <v>45531.57493055556</v>
      </c>
      <c r="C14" s="1" t="n">
        <v>45901</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45901</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45901</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45901</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35743-2025</t>
        </is>
      </c>
      <c r="B18" s="1" t="n">
        <v>45860.54238425926</v>
      </c>
      <c r="C18" s="1" t="n">
        <v>45901</v>
      </c>
      <c r="D18" t="inlineStr">
        <is>
          <t>GÄVLEBORGS LÄN</t>
        </is>
      </c>
      <c r="E18" t="inlineStr">
        <is>
          <t>HOFORS</t>
        </is>
      </c>
      <c r="F18" t="inlineStr">
        <is>
          <t>Sveaskog</t>
        </is>
      </c>
      <c r="G18" t="n">
        <v>1.4</v>
      </c>
      <c r="H18" t="n">
        <v>1</v>
      </c>
      <c r="I18" t="n">
        <v>0</v>
      </c>
      <c r="J18" t="n">
        <v>0</v>
      </c>
      <c r="K18" t="n">
        <v>0</v>
      </c>
      <c r="L18" t="n">
        <v>0</v>
      </c>
      <c r="M18" t="n">
        <v>0</v>
      </c>
      <c r="N18" t="n">
        <v>0</v>
      </c>
      <c r="O18" t="n">
        <v>0</v>
      </c>
      <c r="P18" t="n">
        <v>0</v>
      </c>
      <c r="Q18" t="n">
        <v>1</v>
      </c>
      <c r="R18" s="2" t="inlineStr">
        <is>
          <t>Mattlummer</t>
        </is>
      </c>
      <c r="S18">
        <f>HYPERLINK("https://klasma.github.io/Logging_2104/artfynd/A 35743-2025 artfynd.xlsx", "A 35743-2025")</f>
        <v/>
      </c>
      <c r="T18">
        <f>HYPERLINK("https://klasma.github.io/Logging_2104/kartor/A 35743-2025 karta.png", "A 35743-2025")</f>
        <v/>
      </c>
      <c r="V18">
        <f>HYPERLINK("https://klasma.github.io/Logging_2104/klagomål/A 35743-2025 FSC-klagomål.docx", "A 35743-2025")</f>
        <v/>
      </c>
      <c r="W18">
        <f>HYPERLINK("https://klasma.github.io/Logging_2104/klagomålsmail/A 35743-2025 FSC-klagomål mail.docx", "A 35743-2025")</f>
        <v/>
      </c>
      <c r="X18">
        <f>HYPERLINK("https://klasma.github.io/Logging_2104/tillsyn/A 35743-2025 tillsynsbegäran.docx", "A 35743-2025")</f>
        <v/>
      </c>
      <c r="Y18">
        <f>HYPERLINK("https://klasma.github.io/Logging_2104/tillsynsmail/A 35743-2025 tillsynsbegäran mail.docx", "A 35743-2025")</f>
        <v/>
      </c>
    </row>
    <row r="19" ht="15" customHeight="1">
      <c r="A19" t="inlineStr">
        <is>
          <t>A 36606-2025</t>
        </is>
      </c>
      <c r="B19" s="1" t="n">
        <v>45870.54482638889</v>
      </c>
      <c r="C19" s="1" t="n">
        <v>45901</v>
      </c>
      <c r="D19" t="inlineStr">
        <is>
          <t>GÄVLEBORGS LÄN</t>
        </is>
      </c>
      <c r="E19" t="inlineStr">
        <is>
          <t>HOFORS</t>
        </is>
      </c>
      <c r="F19" t="inlineStr">
        <is>
          <t>Sveaskog</t>
        </is>
      </c>
      <c r="G19" t="n">
        <v>13.3</v>
      </c>
      <c r="H19" t="n">
        <v>0</v>
      </c>
      <c r="I19" t="n">
        <v>0</v>
      </c>
      <c r="J19" t="n">
        <v>1</v>
      </c>
      <c r="K19" t="n">
        <v>0</v>
      </c>
      <c r="L19" t="n">
        <v>0</v>
      </c>
      <c r="M19" t="n">
        <v>0</v>
      </c>
      <c r="N19" t="n">
        <v>0</v>
      </c>
      <c r="O19" t="n">
        <v>1</v>
      </c>
      <c r="P19" t="n">
        <v>0</v>
      </c>
      <c r="Q19" t="n">
        <v>1</v>
      </c>
      <c r="R19" s="2" t="inlineStr">
        <is>
          <t>Brunklöver</t>
        </is>
      </c>
      <c r="S19">
        <f>HYPERLINK("https://klasma.github.io/Logging_2104/artfynd/A 36606-2025 artfynd.xlsx", "A 36606-2025")</f>
        <v/>
      </c>
      <c r="T19">
        <f>HYPERLINK("https://klasma.github.io/Logging_2104/kartor/A 36606-2025 karta.png", "A 36606-2025")</f>
        <v/>
      </c>
      <c r="V19">
        <f>HYPERLINK("https://klasma.github.io/Logging_2104/klagomål/A 36606-2025 FSC-klagomål.docx", "A 36606-2025")</f>
        <v/>
      </c>
      <c r="W19">
        <f>HYPERLINK("https://klasma.github.io/Logging_2104/klagomålsmail/A 36606-2025 FSC-klagomål mail.docx", "A 36606-2025")</f>
        <v/>
      </c>
      <c r="X19">
        <f>HYPERLINK("https://klasma.github.io/Logging_2104/tillsyn/A 36606-2025 tillsynsbegäran.docx", "A 36606-2025")</f>
        <v/>
      </c>
      <c r="Y19">
        <f>HYPERLINK("https://klasma.github.io/Logging_2104/tillsynsmail/A 36606-2025 tillsynsbegäran mail.docx", "A 36606-2025")</f>
        <v/>
      </c>
    </row>
    <row r="20" ht="15" customHeight="1">
      <c r="A20" t="inlineStr">
        <is>
          <t>A 23354-2024</t>
        </is>
      </c>
      <c r="B20" s="1" t="n">
        <v>45453</v>
      </c>
      <c r="C20" s="1" t="n">
        <v>45901</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37011-2025</t>
        </is>
      </c>
      <c r="B21" s="1" t="n">
        <v>45874.70511574074</v>
      </c>
      <c r="C21" s="1" t="n">
        <v>45901</v>
      </c>
      <c r="D21" t="inlineStr">
        <is>
          <t>GÄVLEBORGS LÄN</t>
        </is>
      </c>
      <c r="E21" t="inlineStr">
        <is>
          <t>HOFORS</t>
        </is>
      </c>
      <c r="F21" t="inlineStr">
        <is>
          <t>Sveaskog</t>
        </is>
      </c>
      <c r="G21" t="n">
        <v>3</v>
      </c>
      <c r="H21" t="n">
        <v>1</v>
      </c>
      <c r="I21" t="n">
        <v>0</v>
      </c>
      <c r="J21" t="n">
        <v>0</v>
      </c>
      <c r="K21" t="n">
        <v>1</v>
      </c>
      <c r="L21" t="n">
        <v>0</v>
      </c>
      <c r="M21" t="n">
        <v>0</v>
      </c>
      <c r="N21" t="n">
        <v>0</v>
      </c>
      <c r="O21" t="n">
        <v>1</v>
      </c>
      <c r="P21" t="n">
        <v>1</v>
      </c>
      <c r="Q21" t="n">
        <v>1</v>
      </c>
      <c r="R21" s="2" t="inlineStr">
        <is>
          <t>Knärot</t>
        </is>
      </c>
      <c r="S21">
        <f>HYPERLINK("https://klasma.github.io/Logging_2104/artfynd/A 37011-2025 artfynd.xlsx", "A 37011-2025")</f>
        <v/>
      </c>
      <c r="T21">
        <f>HYPERLINK("https://klasma.github.io/Logging_2104/kartor/A 37011-2025 karta.png", "A 37011-2025")</f>
        <v/>
      </c>
      <c r="U21">
        <f>HYPERLINK("https://klasma.github.io/Logging_2104/knärot/A 37011-2025 karta knärot.png", "A 37011-2025")</f>
        <v/>
      </c>
      <c r="V21">
        <f>HYPERLINK("https://klasma.github.io/Logging_2104/klagomål/A 37011-2025 FSC-klagomål.docx", "A 37011-2025")</f>
        <v/>
      </c>
      <c r="W21">
        <f>HYPERLINK("https://klasma.github.io/Logging_2104/klagomålsmail/A 37011-2025 FSC-klagomål mail.docx", "A 37011-2025")</f>
        <v/>
      </c>
      <c r="X21">
        <f>HYPERLINK("https://klasma.github.io/Logging_2104/tillsyn/A 37011-2025 tillsynsbegäran.docx", "A 37011-2025")</f>
        <v/>
      </c>
      <c r="Y21">
        <f>HYPERLINK("https://klasma.github.io/Logging_2104/tillsynsmail/A 37011-2025 tillsynsbegäran mail.docx", "A 37011-2025")</f>
        <v/>
      </c>
    </row>
    <row r="22" ht="15" customHeight="1">
      <c r="A22" t="inlineStr">
        <is>
          <t>A 47219-2024</t>
        </is>
      </c>
      <c r="B22" s="1" t="n">
        <v>45586</v>
      </c>
      <c r="C22" s="1" t="n">
        <v>45901</v>
      </c>
      <c r="D22" t="inlineStr">
        <is>
          <t>GÄVLEBORGS LÄN</t>
        </is>
      </c>
      <c r="E22" t="inlineStr">
        <is>
          <t>HOFORS</t>
        </is>
      </c>
      <c r="F22" t="inlineStr">
        <is>
          <t>Sveaskog</t>
        </is>
      </c>
      <c r="G22" t="n">
        <v>8.300000000000001</v>
      </c>
      <c r="H22" t="n">
        <v>0</v>
      </c>
      <c r="I22" t="n">
        <v>0</v>
      </c>
      <c r="J22" t="n">
        <v>1</v>
      </c>
      <c r="K22" t="n">
        <v>0</v>
      </c>
      <c r="L22" t="n">
        <v>0</v>
      </c>
      <c r="M22" t="n">
        <v>0</v>
      </c>
      <c r="N22" t="n">
        <v>0</v>
      </c>
      <c r="O22" t="n">
        <v>1</v>
      </c>
      <c r="P22" t="n">
        <v>0</v>
      </c>
      <c r="Q22" t="n">
        <v>1</v>
      </c>
      <c r="R22" s="2" t="inlineStr">
        <is>
          <t>Motaggsvamp</t>
        </is>
      </c>
      <c r="S22">
        <f>HYPERLINK("https://klasma.github.io/Logging_2104/artfynd/A 47219-2024 artfynd.xlsx", "A 47219-2024")</f>
        <v/>
      </c>
      <c r="T22">
        <f>HYPERLINK("https://klasma.github.io/Logging_2104/kartor/A 47219-2024 karta.png", "A 47219-2024")</f>
        <v/>
      </c>
      <c r="V22">
        <f>HYPERLINK("https://klasma.github.io/Logging_2104/klagomål/A 47219-2024 FSC-klagomål.docx", "A 47219-2024")</f>
        <v/>
      </c>
      <c r="W22">
        <f>HYPERLINK("https://klasma.github.io/Logging_2104/klagomålsmail/A 47219-2024 FSC-klagomål mail.docx", "A 47219-2024")</f>
        <v/>
      </c>
      <c r="X22">
        <f>HYPERLINK("https://klasma.github.io/Logging_2104/tillsyn/A 47219-2024 tillsynsbegäran.docx", "A 47219-2024")</f>
        <v/>
      </c>
      <c r="Y22">
        <f>HYPERLINK("https://klasma.github.io/Logging_2104/tillsynsmail/A 47219-2024 tillsynsbegäran mail.docx", "A 47219-2024")</f>
        <v/>
      </c>
    </row>
    <row r="23" ht="15" customHeight="1">
      <c r="A23" t="inlineStr">
        <is>
          <t>A 28392-2024</t>
        </is>
      </c>
      <c r="B23" s="1" t="n">
        <v>45477.60362268519</v>
      </c>
      <c r="C23" s="1" t="n">
        <v>45901</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35741-2025</t>
        </is>
      </c>
      <c r="B24" s="1" t="n">
        <v>45860</v>
      </c>
      <c r="C24" s="1" t="n">
        <v>45901</v>
      </c>
      <c r="D24" t="inlineStr">
        <is>
          <t>GÄVLEBORGS LÄN</t>
        </is>
      </c>
      <c r="E24" t="inlineStr">
        <is>
          <t>HOFORS</t>
        </is>
      </c>
      <c r="F24" t="inlineStr">
        <is>
          <t>Sveaskog</t>
        </is>
      </c>
      <c r="G24" t="n">
        <v>3.9</v>
      </c>
      <c r="H24" t="n">
        <v>1</v>
      </c>
      <c r="I24" t="n">
        <v>0</v>
      </c>
      <c r="J24" t="n">
        <v>0</v>
      </c>
      <c r="K24" t="n">
        <v>1</v>
      </c>
      <c r="L24" t="n">
        <v>0</v>
      </c>
      <c r="M24" t="n">
        <v>0</v>
      </c>
      <c r="N24" t="n">
        <v>0</v>
      </c>
      <c r="O24" t="n">
        <v>1</v>
      </c>
      <c r="P24" t="n">
        <v>1</v>
      </c>
      <c r="Q24" t="n">
        <v>1</v>
      </c>
      <c r="R24" s="2" t="inlineStr">
        <is>
          <t>Knärot</t>
        </is>
      </c>
      <c r="S24">
        <f>HYPERLINK("https://klasma.github.io/Logging_2104/artfynd/A 35741-2025 artfynd.xlsx", "A 35741-2025")</f>
        <v/>
      </c>
      <c r="T24">
        <f>HYPERLINK("https://klasma.github.io/Logging_2104/kartor/A 35741-2025 karta.png", "A 35741-2025")</f>
        <v/>
      </c>
      <c r="U24">
        <f>HYPERLINK("https://klasma.github.io/Logging_2104/knärot/A 35741-2025 karta knärot.png", "A 35741-2025")</f>
        <v/>
      </c>
      <c r="V24">
        <f>HYPERLINK("https://klasma.github.io/Logging_2104/klagomål/A 35741-2025 FSC-klagomål.docx", "A 35741-2025")</f>
        <v/>
      </c>
      <c r="W24">
        <f>HYPERLINK("https://klasma.github.io/Logging_2104/klagomålsmail/A 35741-2025 FSC-klagomål mail.docx", "A 35741-2025")</f>
        <v/>
      </c>
      <c r="X24">
        <f>HYPERLINK("https://klasma.github.io/Logging_2104/tillsyn/A 35741-2025 tillsynsbegäran.docx", "A 35741-2025")</f>
        <v/>
      </c>
      <c r="Y24">
        <f>HYPERLINK("https://klasma.github.io/Logging_2104/tillsynsmail/A 35741-2025 tillsynsbegäran mail.docx", "A 35741-2025")</f>
        <v/>
      </c>
    </row>
    <row r="25" ht="15" customHeight="1">
      <c r="A25" t="inlineStr">
        <is>
          <t>A 47459-2023</t>
        </is>
      </c>
      <c r="B25" s="1" t="n">
        <v>45202.83313657407</v>
      </c>
      <c r="C25" s="1" t="n">
        <v>45901</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7543-2024</t>
        </is>
      </c>
      <c r="B26" s="1" t="n">
        <v>45348</v>
      </c>
      <c r="C26" s="1" t="n">
        <v>45901</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28397-2024</t>
        </is>
      </c>
      <c r="B27" s="1" t="n">
        <v>45477.60549768519</v>
      </c>
      <c r="C27" s="1" t="n">
        <v>45901</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22096-2021</t>
        </is>
      </c>
      <c r="B28" s="1" t="n">
        <v>44323</v>
      </c>
      <c r="C28" s="1" t="n">
        <v>45901</v>
      </c>
      <c r="D28" t="inlineStr">
        <is>
          <t>GÄVLEBORGS LÄN</t>
        </is>
      </c>
      <c r="E28" t="inlineStr">
        <is>
          <t>HOFORS</t>
        </is>
      </c>
      <c r="F28" t="inlineStr">
        <is>
          <t>Sveaskog</t>
        </is>
      </c>
      <c r="G28" t="n">
        <v>1.7</v>
      </c>
      <c r="H28" t="n">
        <v>1</v>
      </c>
      <c r="I28" t="n">
        <v>0</v>
      </c>
      <c r="J28" t="n">
        <v>0</v>
      </c>
      <c r="K28" t="n">
        <v>1</v>
      </c>
      <c r="L28" t="n">
        <v>0</v>
      </c>
      <c r="M28" t="n">
        <v>0</v>
      </c>
      <c r="N28" t="n">
        <v>0</v>
      </c>
      <c r="O28" t="n">
        <v>1</v>
      </c>
      <c r="P28" t="n">
        <v>1</v>
      </c>
      <c r="Q28" t="n">
        <v>1</v>
      </c>
      <c r="R28" s="2" t="inlineStr">
        <is>
          <t>Knärot</t>
        </is>
      </c>
      <c r="S28">
        <f>HYPERLINK("https://klasma.github.io/Logging_2104/artfynd/A 22096-2021 artfynd.xlsx", "A 22096-2021")</f>
        <v/>
      </c>
      <c r="T28">
        <f>HYPERLINK("https://klasma.github.io/Logging_2104/kartor/A 22096-2021 karta.png", "A 22096-2021")</f>
        <v/>
      </c>
      <c r="U28">
        <f>HYPERLINK("https://klasma.github.io/Logging_2104/knärot/A 22096-2021 karta knärot.png", "A 22096-2021")</f>
        <v/>
      </c>
      <c r="V28">
        <f>HYPERLINK("https://klasma.github.io/Logging_2104/klagomål/A 22096-2021 FSC-klagomål.docx", "A 22096-2021")</f>
        <v/>
      </c>
      <c r="W28">
        <f>HYPERLINK("https://klasma.github.io/Logging_2104/klagomålsmail/A 22096-2021 FSC-klagomål mail.docx", "A 22096-2021")</f>
        <v/>
      </c>
      <c r="X28">
        <f>HYPERLINK("https://klasma.github.io/Logging_2104/tillsyn/A 22096-2021 tillsynsbegäran.docx", "A 22096-2021")</f>
        <v/>
      </c>
      <c r="Y28">
        <f>HYPERLINK("https://klasma.github.io/Logging_2104/tillsynsmail/A 22096-2021 tillsynsbegäran mail.docx", "A 22096-2021")</f>
        <v/>
      </c>
    </row>
    <row r="29" ht="15" customHeight="1">
      <c r="A29" t="inlineStr">
        <is>
          <t>A 44963-2020</t>
        </is>
      </c>
      <c r="B29" s="1" t="n">
        <v>44088</v>
      </c>
      <c r="C29" s="1" t="n">
        <v>45901</v>
      </c>
      <c r="D29" t="inlineStr">
        <is>
          <t>GÄVLEBORGS LÄN</t>
        </is>
      </c>
      <c r="E29" t="inlineStr">
        <is>
          <t>HOFORS</t>
        </is>
      </c>
      <c r="G29" t="n">
        <v>3.1</v>
      </c>
      <c r="H29" t="n">
        <v>0</v>
      </c>
      <c r="I29" t="n">
        <v>0</v>
      </c>
      <c r="J29" t="n">
        <v>1</v>
      </c>
      <c r="K29" t="n">
        <v>0</v>
      </c>
      <c r="L29" t="n">
        <v>0</v>
      </c>
      <c r="M29" t="n">
        <v>0</v>
      </c>
      <c r="N29" t="n">
        <v>0</v>
      </c>
      <c r="O29" t="n">
        <v>1</v>
      </c>
      <c r="P29" t="n">
        <v>0</v>
      </c>
      <c r="Q29" t="n">
        <v>1</v>
      </c>
      <c r="R29" s="2" t="inlineStr">
        <is>
          <t>Slåtterfibbla</t>
        </is>
      </c>
      <c r="S29">
        <f>HYPERLINK("https://klasma.github.io/Logging_2104/artfynd/A 44963-2020 artfynd.xlsx", "A 44963-2020")</f>
        <v/>
      </c>
      <c r="T29">
        <f>HYPERLINK("https://klasma.github.io/Logging_2104/kartor/A 44963-2020 karta.png", "A 44963-2020")</f>
        <v/>
      </c>
      <c r="V29">
        <f>HYPERLINK("https://klasma.github.io/Logging_2104/klagomål/A 44963-2020 FSC-klagomål.docx", "A 44963-2020")</f>
        <v/>
      </c>
      <c r="W29">
        <f>HYPERLINK("https://klasma.github.io/Logging_2104/klagomålsmail/A 44963-2020 FSC-klagomål mail.docx", "A 44963-2020")</f>
        <v/>
      </c>
      <c r="X29">
        <f>HYPERLINK("https://klasma.github.io/Logging_2104/tillsyn/A 44963-2020 tillsynsbegäran.docx", "A 44963-2020")</f>
        <v/>
      </c>
      <c r="Y29">
        <f>HYPERLINK("https://klasma.github.io/Logging_2104/tillsynsmail/A 44963-2020 tillsynsbegäran mail.docx", "A 44963-2020")</f>
        <v/>
      </c>
    </row>
    <row r="30" ht="15" customHeight="1">
      <c r="A30" t="inlineStr">
        <is>
          <t>A 54828-2021</t>
        </is>
      </c>
      <c r="B30" s="1" t="n">
        <v>44473</v>
      </c>
      <c r="C30" s="1" t="n">
        <v>45901</v>
      </c>
      <c r="D30" t="inlineStr">
        <is>
          <t>GÄVLEBORGS LÄN</t>
        </is>
      </c>
      <c r="E30" t="inlineStr">
        <is>
          <t>HOFORS</t>
        </is>
      </c>
      <c r="F30" t="inlineStr">
        <is>
          <t>Bergvik skog väst AB</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54828-2021 artfynd.xlsx", "A 54828-2021")</f>
        <v/>
      </c>
      <c r="T30">
        <f>HYPERLINK("https://klasma.github.io/Logging_2104/kartor/A 54828-2021 karta.png", "A 54828-2021")</f>
        <v/>
      </c>
      <c r="U30">
        <f>HYPERLINK("https://klasma.github.io/Logging_2104/knärot/A 54828-2021 karta knärot.png", "A 54828-2021")</f>
        <v/>
      </c>
      <c r="V30">
        <f>HYPERLINK("https://klasma.github.io/Logging_2104/klagomål/A 54828-2021 FSC-klagomål.docx", "A 54828-2021")</f>
        <v/>
      </c>
      <c r="W30">
        <f>HYPERLINK("https://klasma.github.io/Logging_2104/klagomålsmail/A 54828-2021 FSC-klagomål mail.docx", "A 54828-2021")</f>
        <v/>
      </c>
      <c r="X30">
        <f>HYPERLINK("https://klasma.github.io/Logging_2104/tillsyn/A 54828-2021 tillsynsbegäran.docx", "A 54828-2021")</f>
        <v/>
      </c>
      <c r="Y30">
        <f>HYPERLINK("https://klasma.github.io/Logging_2104/tillsynsmail/A 54828-2021 tillsynsbegäran mail.docx", "A 54828-2021")</f>
        <v/>
      </c>
    </row>
    <row r="31" ht="15" customHeight="1">
      <c r="A31" t="inlineStr">
        <is>
          <t>A 234-2023</t>
        </is>
      </c>
      <c r="B31" s="1" t="n">
        <v>44928.66260416667</v>
      </c>
      <c r="C31" s="1" t="n">
        <v>45901</v>
      </c>
      <c r="D31" t="inlineStr">
        <is>
          <t>GÄVLEBORGS LÄN</t>
        </is>
      </c>
      <c r="E31" t="inlineStr">
        <is>
          <t>HOFORS</t>
        </is>
      </c>
      <c r="F31" t="inlineStr">
        <is>
          <t>Sveaskog</t>
        </is>
      </c>
      <c r="G31" t="n">
        <v>5.1</v>
      </c>
      <c r="H31" t="n">
        <v>1</v>
      </c>
      <c r="I31" t="n">
        <v>0</v>
      </c>
      <c r="J31" t="n">
        <v>0</v>
      </c>
      <c r="K31" t="n">
        <v>1</v>
      </c>
      <c r="L31" t="n">
        <v>0</v>
      </c>
      <c r="M31" t="n">
        <v>0</v>
      </c>
      <c r="N31" t="n">
        <v>0</v>
      </c>
      <c r="O31" t="n">
        <v>1</v>
      </c>
      <c r="P31" t="n">
        <v>1</v>
      </c>
      <c r="Q31" t="n">
        <v>1</v>
      </c>
      <c r="R31" s="2" t="inlineStr">
        <is>
          <t>Knärot</t>
        </is>
      </c>
      <c r="S31">
        <f>HYPERLINK("https://klasma.github.io/Logging_2104/artfynd/A 234-2023 artfynd.xlsx", "A 234-2023")</f>
        <v/>
      </c>
      <c r="T31">
        <f>HYPERLINK("https://klasma.github.io/Logging_2104/kartor/A 234-2023 karta.png", "A 234-2023")</f>
        <v/>
      </c>
      <c r="U31">
        <f>HYPERLINK("https://klasma.github.io/Logging_2104/knärot/A 234-2023 karta knärot.png", "A 234-2023")</f>
        <v/>
      </c>
      <c r="V31">
        <f>HYPERLINK("https://klasma.github.io/Logging_2104/klagomål/A 234-2023 FSC-klagomål.docx", "A 234-2023")</f>
        <v/>
      </c>
      <c r="W31">
        <f>HYPERLINK("https://klasma.github.io/Logging_2104/klagomålsmail/A 234-2023 FSC-klagomål mail.docx", "A 234-2023")</f>
        <v/>
      </c>
      <c r="X31">
        <f>HYPERLINK("https://klasma.github.io/Logging_2104/tillsyn/A 234-2023 tillsynsbegäran.docx", "A 234-2023")</f>
        <v/>
      </c>
      <c r="Y31">
        <f>HYPERLINK("https://klasma.github.io/Logging_2104/tillsynsmail/A 234-2023 tillsynsbegäran mail.docx", "A 234-2023")</f>
        <v/>
      </c>
    </row>
    <row r="32" ht="15" customHeight="1">
      <c r="A32" t="inlineStr">
        <is>
          <t>A 21029-2024</t>
        </is>
      </c>
      <c r="B32" s="1" t="n">
        <v>45439.6528125</v>
      </c>
      <c r="C32" s="1" t="n">
        <v>45901</v>
      </c>
      <c r="D32" t="inlineStr">
        <is>
          <t>GÄVLEBORGS LÄN</t>
        </is>
      </c>
      <c r="E32" t="inlineStr">
        <is>
          <t>HOFORS</t>
        </is>
      </c>
      <c r="F32" t="inlineStr">
        <is>
          <t>Sveaskog</t>
        </is>
      </c>
      <c r="G32" t="n">
        <v>3.9</v>
      </c>
      <c r="H32" t="n">
        <v>0</v>
      </c>
      <c r="I32" t="n">
        <v>0</v>
      </c>
      <c r="J32" t="n">
        <v>1</v>
      </c>
      <c r="K32" t="n">
        <v>0</v>
      </c>
      <c r="L32" t="n">
        <v>0</v>
      </c>
      <c r="M32" t="n">
        <v>0</v>
      </c>
      <c r="N32" t="n">
        <v>0</v>
      </c>
      <c r="O32" t="n">
        <v>1</v>
      </c>
      <c r="P32" t="n">
        <v>0</v>
      </c>
      <c r="Q32" t="n">
        <v>1</v>
      </c>
      <c r="R32" s="2" t="inlineStr">
        <is>
          <t>Mörk kolflarnlav</t>
        </is>
      </c>
      <c r="S32">
        <f>HYPERLINK("https://klasma.github.io/Logging_2104/artfynd/A 21029-2024 artfynd.xlsx", "A 21029-2024")</f>
        <v/>
      </c>
      <c r="T32">
        <f>HYPERLINK("https://klasma.github.io/Logging_2104/kartor/A 21029-2024 karta.png", "A 21029-2024")</f>
        <v/>
      </c>
      <c r="U32">
        <f>HYPERLINK("https://klasma.github.io/Logging_2104/knärot/A 21029-2024 karta knärot.png", "A 21029-2024")</f>
        <v/>
      </c>
      <c r="V32">
        <f>HYPERLINK("https://klasma.github.io/Logging_2104/klagomål/A 21029-2024 FSC-klagomål.docx", "A 21029-2024")</f>
        <v/>
      </c>
      <c r="W32">
        <f>HYPERLINK("https://klasma.github.io/Logging_2104/klagomålsmail/A 21029-2024 FSC-klagomål mail.docx", "A 21029-2024")</f>
        <v/>
      </c>
      <c r="X32">
        <f>HYPERLINK("https://klasma.github.io/Logging_2104/tillsyn/A 21029-2024 tillsynsbegäran.docx", "A 21029-2024")</f>
        <v/>
      </c>
      <c r="Y32">
        <f>HYPERLINK("https://klasma.github.io/Logging_2104/tillsynsmail/A 21029-2024 tillsynsbegäran mail.docx", "A 21029-2024")</f>
        <v/>
      </c>
    </row>
    <row r="33" ht="15" customHeight="1">
      <c r="A33" t="inlineStr">
        <is>
          <t>A 51205-2022</t>
        </is>
      </c>
      <c r="B33" s="1" t="n">
        <v>44868.61302083333</v>
      </c>
      <c r="C33" s="1" t="n">
        <v>45901</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45901</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45901</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45901</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45901</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45901</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45901</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45901</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45901</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45901</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45901</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45901</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45901</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45901</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45901</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45901</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45901</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45901</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45901</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45901</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45901</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45901</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45901</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45901</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45901</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12057-2021</t>
        </is>
      </c>
      <c r="B58" s="1" t="n">
        <v>44266</v>
      </c>
      <c r="C58" s="1" t="n">
        <v>45901</v>
      </c>
      <c r="D58" t="inlineStr">
        <is>
          <t>GÄVLEBORGS LÄN</t>
        </is>
      </c>
      <c r="E58" t="inlineStr">
        <is>
          <t>HOFORS</t>
        </is>
      </c>
      <c r="G58" t="n">
        <v>2.6</v>
      </c>
      <c r="H58" t="n">
        <v>0</v>
      </c>
      <c r="I58" t="n">
        <v>0</v>
      </c>
      <c r="J58" t="n">
        <v>0</v>
      </c>
      <c r="K58" t="n">
        <v>0</v>
      </c>
      <c r="L58" t="n">
        <v>0</v>
      </c>
      <c r="M58" t="n">
        <v>0</v>
      </c>
      <c r="N58" t="n">
        <v>0</v>
      </c>
      <c r="O58" t="n">
        <v>0</v>
      </c>
      <c r="P58" t="n">
        <v>0</v>
      </c>
      <c r="Q58" t="n">
        <v>0</v>
      </c>
      <c r="R58" s="2" t="inlineStr"/>
    </row>
    <row r="59" ht="15" customHeight="1">
      <c r="A59" t="inlineStr">
        <is>
          <t>A 35505-2024</t>
        </is>
      </c>
      <c r="B59" s="1" t="n">
        <v>45531.53869212963</v>
      </c>
      <c r="C59" s="1" t="n">
        <v>45901</v>
      </c>
      <c r="D59" t="inlineStr">
        <is>
          <t>GÄVLEBORGS LÄN</t>
        </is>
      </c>
      <c r="E59" t="inlineStr">
        <is>
          <t>HOFORS</t>
        </is>
      </c>
      <c r="F59" t="inlineStr">
        <is>
          <t>Sveaskog</t>
        </is>
      </c>
      <c r="G59" t="n">
        <v>1</v>
      </c>
      <c r="H59" t="n">
        <v>0</v>
      </c>
      <c r="I59" t="n">
        <v>0</v>
      </c>
      <c r="J59" t="n">
        <v>0</v>
      </c>
      <c r="K59" t="n">
        <v>0</v>
      </c>
      <c r="L59" t="n">
        <v>0</v>
      </c>
      <c r="M59" t="n">
        <v>0</v>
      </c>
      <c r="N59" t="n">
        <v>0</v>
      </c>
      <c r="O59" t="n">
        <v>0</v>
      </c>
      <c r="P59" t="n">
        <v>0</v>
      </c>
      <c r="Q59" t="n">
        <v>0</v>
      </c>
      <c r="R59" s="2" t="inlineStr"/>
    </row>
    <row r="60" ht="15" customHeight="1">
      <c r="A60" t="inlineStr">
        <is>
          <t>A 35514-2024</t>
        </is>
      </c>
      <c r="B60" s="1" t="n">
        <v>45531.56472222223</v>
      </c>
      <c r="C60" s="1" t="n">
        <v>45901</v>
      </c>
      <c r="D60" t="inlineStr">
        <is>
          <t>GÄVLEBORGS LÄN</t>
        </is>
      </c>
      <c r="E60" t="inlineStr">
        <is>
          <t>HOFORS</t>
        </is>
      </c>
      <c r="F60" t="inlineStr">
        <is>
          <t>Sveaskog</t>
        </is>
      </c>
      <c r="G60" t="n">
        <v>6.5</v>
      </c>
      <c r="H60" t="n">
        <v>0</v>
      </c>
      <c r="I60" t="n">
        <v>0</v>
      </c>
      <c r="J60" t="n">
        <v>0</v>
      </c>
      <c r="K60" t="n">
        <v>0</v>
      </c>
      <c r="L60" t="n">
        <v>0</v>
      </c>
      <c r="M60" t="n">
        <v>0</v>
      </c>
      <c r="N60" t="n">
        <v>0</v>
      </c>
      <c r="O60" t="n">
        <v>0</v>
      </c>
      <c r="P60" t="n">
        <v>0</v>
      </c>
      <c r="Q60" t="n">
        <v>0</v>
      </c>
      <c r="R60" s="2" t="inlineStr"/>
    </row>
    <row r="61" ht="15" customHeight="1">
      <c r="A61" t="inlineStr">
        <is>
          <t>A 4032-2025</t>
        </is>
      </c>
      <c r="B61" s="1" t="n">
        <v>45684</v>
      </c>
      <c r="C61" s="1" t="n">
        <v>45901</v>
      </c>
      <c r="D61" t="inlineStr">
        <is>
          <t>GÄVLEBORGS LÄN</t>
        </is>
      </c>
      <c r="E61" t="inlineStr">
        <is>
          <t>HOFORS</t>
        </is>
      </c>
      <c r="G61" t="n">
        <v>2.7</v>
      </c>
      <c r="H61" t="n">
        <v>0</v>
      </c>
      <c r="I61" t="n">
        <v>0</v>
      </c>
      <c r="J61" t="n">
        <v>0</v>
      </c>
      <c r="K61" t="n">
        <v>0</v>
      </c>
      <c r="L61" t="n">
        <v>0</v>
      </c>
      <c r="M61" t="n">
        <v>0</v>
      </c>
      <c r="N61" t="n">
        <v>0</v>
      </c>
      <c r="O61" t="n">
        <v>0</v>
      </c>
      <c r="P61" t="n">
        <v>0</v>
      </c>
      <c r="Q61" t="n">
        <v>0</v>
      </c>
      <c r="R61" s="2" t="inlineStr"/>
    </row>
    <row r="62" ht="15" customHeight="1">
      <c r="A62" t="inlineStr">
        <is>
          <t>A 31611-2023</t>
        </is>
      </c>
      <c r="B62" s="1" t="n">
        <v>45117</v>
      </c>
      <c r="C62" s="1" t="n">
        <v>45901</v>
      </c>
      <c r="D62" t="inlineStr">
        <is>
          <t>GÄVLEBORGS LÄN</t>
        </is>
      </c>
      <c r="E62" t="inlineStr">
        <is>
          <t>HOFORS</t>
        </is>
      </c>
      <c r="G62" t="n">
        <v>4.4</v>
      </c>
      <c r="H62" t="n">
        <v>0</v>
      </c>
      <c r="I62" t="n">
        <v>0</v>
      </c>
      <c r="J62" t="n">
        <v>0</v>
      </c>
      <c r="K62" t="n">
        <v>0</v>
      </c>
      <c r="L62" t="n">
        <v>0</v>
      </c>
      <c r="M62" t="n">
        <v>0</v>
      </c>
      <c r="N62" t="n">
        <v>0</v>
      </c>
      <c r="O62" t="n">
        <v>0</v>
      </c>
      <c r="P62" t="n">
        <v>0</v>
      </c>
      <c r="Q62" t="n">
        <v>0</v>
      </c>
      <c r="R62" s="2" t="inlineStr"/>
    </row>
    <row r="63" ht="15" customHeight="1">
      <c r="A63" t="inlineStr">
        <is>
          <t>A 57400-2024</t>
        </is>
      </c>
      <c r="B63" s="1" t="n">
        <v>45629.71085648148</v>
      </c>
      <c r="C63" s="1" t="n">
        <v>45901</v>
      </c>
      <c r="D63" t="inlineStr">
        <is>
          <t>GÄVLEBORGS LÄN</t>
        </is>
      </c>
      <c r="E63" t="inlineStr">
        <is>
          <t>HOFORS</t>
        </is>
      </c>
      <c r="G63" t="n">
        <v>2.7</v>
      </c>
      <c r="H63" t="n">
        <v>0</v>
      </c>
      <c r="I63" t="n">
        <v>0</v>
      </c>
      <c r="J63" t="n">
        <v>0</v>
      </c>
      <c r="K63" t="n">
        <v>0</v>
      </c>
      <c r="L63" t="n">
        <v>0</v>
      </c>
      <c r="M63" t="n">
        <v>0</v>
      </c>
      <c r="N63" t="n">
        <v>0</v>
      </c>
      <c r="O63" t="n">
        <v>0</v>
      </c>
      <c r="P63" t="n">
        <v>0</v>
      </c>
      <c r="Q63" t="n">
        <v>0</v>
      </c>
      <c r="R63" s="2" t="inlineStr"/>
    </row>
    <row r="64" ht="15" customHeight="1">
      <c r="A64" t="inlineStr">
        <is>
          <t>A 28391-2024</t>
        </is>
      </c>
      <c r="B64" s="1" t="n">
        <v>45477.60254629629</v>
      </c>
      <c r="C64" s="1" t="n">
        <v>45901</v>
      </c>
      <c r="D64" t="inlineStr">
        <is>
          <t>GÄVLEBORGS LÄN</t>
        </is>
      </c>
      <c r="E64" t="inlineStr">
        <is>
          <t>HOFORS</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23376-2024</t>
        </is>
      </c>
      <c r="B65" s="1" t="n">
        <v>45453</v>
      </c>
      <c r="C65" s="1" t="n">
        <v>45901</v>
      </c>
      <c r="D65" t="inlineStr">
        <is>
          <t>GÄVLEBORGS LÄN</t>
        </is>
      </c>
      <c r="E65" t="inlineStr">
        <is>
          <t>HOFORS</t>
        </is>
      </c>
      <c r="F65" t="inlineStr">
        <is>
          <t>Sveaskog</t>
        </is>
      </c>
      <c r="G65" t="n">
        <v>10.8</v>
      </c>
      <c r="H65" t="n">
        <v>0</v>
      </c>
      <c r="I65" t="n">
        <v>0</v>
      </c>
      <c r="J65" t="n">
        <v>0</v>
      </c>
      <c r="K65" t="n">
        <v>0</v>
      </c>
      <c r="L65" t="n">
        <v>0</v>
      </c>
      <c r="M65" t="n">
        <v>0</v>
      </c>
      <c r="N65" t="n">
        <v>0</v>
      </c>
      <c r="O65" t="n">
        <v>0</v>
      </c>
      <c r="P65" t="n">
        <v>0</v>
      </c>
      <c r="Q65" t="n">
        <v>0</v>
      </c>
      <c r="R65" s="2" t="inlineStr"/>
    </row>
    <row r="66" ht="15" customHeight="1">
      <c r="A66" t="inlineStr">
        <is>
          <t>A 22226-2024</t>
        </is>
      </c>
      <c r="B66" s="1" t="n">
        <v>45446.4203587963</v>
      </c>
      <c r="C66" s="1" t="n">
        <v>45901</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20972-2025</t>
        </is>
      </c>
      <c r="B67" s="1" t="n">
        <v>45777.45725694444</v>
      </c>
      <c r="C67" s="1" t="n">
        <v>45901</v>
      </c>
      <c r="D67" t="inlineStr">
        <is>
          <t>GÄVLEBORGS LÄN</t>
        </is>
      </c>
      <c r="E67" t="inlineStr">
        <is>
          <t>HOFORS</t>
        </is>
      </c>
      <c r="F67" t="inlineStr">
        <is>
          <t>Sveaskog</t>
        </is>
      </c>
      <c r="G67" t="n">
        <v>1.3</v>
      </c>
      <c r="H67" t="n">
        <v>0</v>
      </c>
      <c r="I67" t="n">
        <v>0</v>
      </c>
      <c r="J67" t="n">
        <v>0</v>
      </c>
      <c r="K67" t="n">
        <v>0</v>
      </c>
      <c r="L67" t="n">
        <v>0</v>
      </c>
      <c r="M67" t="n">
        <v>0</v>
      </c>
      <c r="N67" t="n">
        <v>0</v>
      </c>
      <c r="O67" t="n">
        <v>0</v>
      </c>
      <c r="P67" t="n">
        <v>0</v>
      </c>
      <c r="Q67" t="n">
        <v>0</v>
      </c>
      <c r="R67" s="2" t="inlineStr"/>
    </row>
    <row r="68" ht="15" customHeight="1">
      <c r="A68" t="inlineStr">
        <is>
          <t>A 37744-2022</t>
        </is>
      </c>
      <c r="B68" s="1" t="n">
        <v>44810.58422453704</v>
      </c>
      <c r="C68" s="1" t="n">
        <v>45901</v>
      </c>
      <c r="D68" t="inlineStr">
        <is>
          <t>GÄVLEBORGS LÄN</t>
        </is>
      </c>
      <c r="E68" t="inlineStr">
        <is>
          <t>HOFORS</t>
        </is>
      </c>
      <c r="G68" t="n">
        <v>1.1</v>
      </c>
      <c r="H68" t="n">
        <v>0</v>
      </c>
      <c r="I68" t="n">
        <v>0</v>
      </c>
      <c r="J68" t="n">
        <v>0</v>
      </c>
      <c r="K68" t="n">
        <v>0</v>
      </c>
      <c r="L68" t="n">
        <v>0</v>
      </c>
      <c r="M68" t="n">
        <v>0</v>
      </c>
      <c r="N68" t="n">
        <v>0</v>
      </c>
      <c r="O68" t="n">
        <v>0</v>
      </c>
      <c r="P68" t="n">
        <v>0</v>
      </c>
      <c r="Q68" t="n">
        <v>0</v>
      </c>
      <c r="R68" s="2" t="inlineStr"/>
    </row>
    <row r="69" ht="15" customHeight="1">
      <c r="A69" t="inlineStr">
        <is>
          <t>A 21340-2025</t>
        </is>
      </c>
      <c r="B69" s="1" t="n">
        <v>45782.38909722222</v>
      </c>
      <c r="C69" s="1" t="n">
        <v>45901</v>
      </c>
      <c r="D69" t="inlineStr">
        <is>
          <t>GÄVLEBORGS LÄN</t>
        </is>
      </c>
      <c r="E69" t="inlineStr">
        <is>
          <t>HOFORS</t>
        </is>
      </c>
      <c r="G69" t="n">
        <v>1</v>
      </c>
      <c r="H69" t="n">
        <v>0</v>
      </c>
      <c r="I69" t="n">
        <v>0</v>
      </c>
      <c r="J69" t="n">
        <v>0</v>
      </c>
      <c r="K69" t="n">
        <v>0</v>
      </c>
      <c r="L69" t="n">
        <v>0</v>
      </c>
      <c r="M69" t="n">
        <v>0</v>
      </c>
      <c r="N69" t="n">
        <v>0</v>
      </c>
      <c r="O69" t="n">
        <v>0</v>
      </c>
      <c r="P69" t="n">
        <v>0</v>
      </c>
      <c r="Q69" t="n">
        <v>0</v>
      </c>
      <c r="R69" s="2" t="inlineStr"/>
    </row>
    <row r="70" ht="15" customHeight="1">
      <c r="A70" t="inlineStr">
        <is>
          <t>A 47531-2021</t>
        </is>
      </c>
      <c r="B70" s="1" t="n">
        <v>44447</v>
      </c>
      <c r="C70" s="1" t="n">
        <v>45901</v>
      </c>
      <c r="D70" t="inlineStr">
        <is>
          <t>GÄVLEBORGS LÄN</t>
        </is>
      </c>
      <c r="E70" t="inlineStr">
        <is>
          <t>HOFORS</t>
        </is>
      </c>
      <c r="G70" t="n">
        <v>7.6</v>
      </c>
      <c r="H70" t="n">
        <v>0</v>
      </c>
      <c r="I70" t="n">
        <v>0</v>
      </c>
      <c r="J70" t="n">
        <v>0</v>
      </c>
      <c r="K70" t="n">
        <v>0</v>
      </c>
      <c r="L70" t="n">
        <v>0</v>
      </c>
      <c r="M70" t="n">
        <v>0</v>
      </c>
      <c r="N70" t="n">
        <v>0</v>
      </c>
      <c r="O70" t="n">
        <v>0</v>
      </c>
      <c r="P70" t="n">
        <v>0</v>
      </c>
      <c r="Q70" t="n">
        <v>0</v>
      </c>
      <c r="R70" s="2" t="inlineStr"/>
    </row>
    <row r="71" ht="15" customHeight="1">
      <c r="A71" t="inlineStr">
        <is>
          <t>A 24851-2021</t>
        </is>
      </c>
      <c r="B71" s="1" t="n">
        <v>44340</v>
      </c>
      <c r="C71" s="1" t="n">
        <v>45901</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1144-2024</t>
        </is>
      </c>
      <c r="B72" s="1" t="n">
        <v>45302.49138888889</v>
      </c>
      <c r="C72" s="1" t="n">
        <v>45901</v>
      </c>
      <c r="D72" t="inlineStr">
        <is>
          <t>GÄVLEBORGS LÄN</t>
        </is>
      </c>
      <c r="E72" t="inlineStr">
        <is>
          <t>HOFORS</t>
        </is>
      </c>
      <c r="G72" t="n">
        <v>0.9</v>
      </c>
      <c r="H72" t="n">
        <v>0</v>
      </c>
      <c r="I72" t="n">
        <v>0</v>
      </c>
      <c r="J72" t="n">
        <v>0</v>
      </c>
      <c r="K72" t="n">
        <v>0</v>
      </c>
      <c r="L72" t="n">
        <v>0</v>
      </c>
      <c r="M72" t="n">
        <v>0</v>
      </c>
      <c r="N72" t="n">
        <v>0</v>
      </c>
      <c r="O72" t="n">
        <v>0</v>
      </c>
      <c r="P72" t="n">
        <v>0</v>
      </c>
      <c r="Q72" t="n">
        <v>0</v>
      </c>
      <c r="R72" s="2" t="inlineStr"/>
    </row>
    <row r="73" ht="15" customHeight="1">
      <c r="A73" t="inlineStr">
        <is>
          <t>A 5554-2024</t>
        </is>
      </c>
      <c r="B73" s="1" t="n">
        <v>45334</v>
      </c>
      <c r="C73" s="1" t="n">
        <v>45901</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58240-2021</t>
        </is>
      </c>
      <c r="B74" s="1" t="n">
        <v>44487.88978009259</v>
      </c>
      <c r="C74" s="1" t="n">
        <v>45901</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8510-2023</t>
        </is>
      </c>
      <c r="B75" s="1" t="n">
        <v>44977.56144675926</v>
      </c>
      <c r="C75" s="1" t="n">
        <v>45901</v>
      </c>
      <c r="D75" t="inlineStr">
        <is>
          <t>GÄVLEBORGS LÄN</t>
        </is>
      </c>
      <c r="E75" t="inlineStr">
        <is>
          <t>HOFORS</t>
        </is>
      </c>
      <c r="G75" t="n">
        <v>0.4</v>
      </c>
      <c r="H75" t="n">
        <v>0</v>
      </c>
      <c r="I75" t="n">
        <v>0</v>
      </c>
      <c r="J75" t="n">
        <v>0</v>
      </c>
      <c r="K75" t="n">
        <v>0</v>
      </c>
      <c r="L75" t="n">
        <v>0</v>
      </c>
      <c r="M75" t="n">
        <v>0</v>
      </c>
      <c r="N75" t="n">
        <v>0</v>
      </c>
      <c r="O75" t="n">
        <v>0</v>
      </c>
      <c r="P75" t="n">
        <v>0</v>
      </c>
      <c r="Q75" t="n">
        <v>0</v>
      </c>
      <c r="R75" s="2" t="inlineStr"/>
    </row>
    <row r="76" ht="15" customHeight="1">
      <c r="A76" t="inlineStr">
        <is>
          <t>A 30229-2024</t>
        </is>
      </c>
      <c r="B76" s="1" t="n">
        <v>45490.46946759259</v>
      </c>
      <c r="C76" s="1" t="n">
        <v>45901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27738-2024</t>
        </is>
      </c>
      <c r="B77" s="1" t="n">
        <v>45475.45108796296</v>
      </c>
      <c r="C77" s="1" t="n">
        <v>45901</v>
      </c>
      <c r="D77" t="inlineStr">
        <is>
          <t>GÄVLEBORGS LÄN</t>
        </is>
      </c>
      <c r="E77" t="inlineStr">
        <is>
          <t>HOFORS</t>
        </is>
      </c>
      <c r="F77" t="inlineStr">
        <is>
          <t>Bergvik skog öst AB</t>
        </is>
      </c>
      <c r="G77" t="n">
        <v>2.6</v>
      </c>
      <c r="H77" t="n">
        <v>0</v>
      </c>
      <c r="I77" t="n">
        <v>0</v>
      </c>
      <c r="J77" t="n">
        <v>0</v>
      </c>
      <c r="K77" t="n">
        <v>0</v>
      </c>
      <c r="L77" t="n">
        <v>0</v>
      </c>
      <c r="M77" t="n">
        <v>0</v>
      </c>
      <c r="N77" t="n">
        <v>0</v>
      </c>
      <c r="O77" t="n">
        <v>0</v>
      </c>
      <c r="P77" t="n">
        <v>0</v>
      </c>
      <c r="Q77" t="n">
        <v>0</v>
      </c>
      <c r="R77" s="2" t="inlineStr"/>
    </row>
    <row r="78" ht="15" customHeight="1">
      <c r="A78" t="inlineStr">
        <is>
          <t>A 31607-2023</t>
        </is>
      </c>
      <c r="B78" s="1" t="n">
        <v>45117</v>
      </c>
      <c r="C78" s="1" t="n">
        <v>45901</v>
      </c>
      <c r="D78" t="inlineStr">
        <is>
          <t>GÄVLEBORGS LÄN</t>
        </is>
      </c>
      <c r="E78" t="inlineStr">
        <is>
          <t>HOFORS</t>
        </is>
      </c>
      <c r="G78" t="n">
        <v>3.8</v>
      </c>
      <c r="H78" t="n">
        <v>0</v>
      </c>
      <c r="I78" t="n">
        <v>0</v>
      </c>
      <c r="J78" t="n">
        <v>0</v>
      </c>
      <c r="K78" t="n">
        <v>0</v>
      </c>
      <c r="L78" t="n">
        <v>0</v>
      </c>
      <c r="M78" t="n">
        <v>0</v>
      </c>
      <c r="N78" t="n">
        <v>0</v>
      </c>
      <c r="O78" t="n">
        <v>0</v>
      </c>
      <c r="P78" t="n">
        <v>0</v>
      </c>
      <c r="Q78" t="n">
        <v>0</v>
      </c>
      <c r="R78" s="2" t="inlineStr"/>
    </row>
    <row r="79" ht="15" customHeight="1">
      <c r="A79" t="inlineStr">
        <is>
          <t>A 13744-2023</t>
        </is>
      </c>
      <c r="B79" s="1" t="n">
        <v>45007</v>
      </c>
      <c r="C79" s="1" t="n">
        <v>45901</v>
      </c>
      <c r="D79" t="inlineStr">
        <is>
          <t>GÄVLEBORGS LÄN</t>
        </is>
      </c>
      <c r="E79" t="inlineStr">
        <is>
          <t>HOFORS</t>
        </is>
      </c>
      <c r="F79" t="inlineStr">
        <is>
          <t>Övriga statliga verk och myndigheter</t>
        </is>
      </c>
      <c r="G79" t="n">
        <v>1</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45901</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45901</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21039-2024</t>
        </is>
      </c>
      <c r="B82" s="1" t="n">
        <v>45439</v>
      </c>
      <c r="C82" s="1" t="n">
        <v>45901</v>
      </c>
      <c r="D82" t="inlineStr">
        <is>
          <t>GÄVLEBORGS LÄN</t>
        </is>
      </c>
      <c r="E82" t="inlineStr">
        <is>
          <t>HOFORS</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25465-2024</t>
        </is>
      </c>
      <c r="B83" s="1" t="n">
        <v>45463.43416666667</v>
      </c>
      <c r="C83" s="1" t="n">
        <v>45901</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25476-2024</t>
        </is>
      </c>
      <c r="B84" s="1" t="n">
        <v>45463.44922453703</v>
      </c>
      <c r="C84" s="1" t="n">
        <v>45901</v>
      </c>
      <c r="D84" t="inlineStr">
        <is>
          <t>GÄVLEBORGS LÄN</t>
        </is>
      </c>
      <c r="E84" t="inlineStr">
        <is>
          <t>HOFORS</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62596-2023</t>
        </is>
      </c>
      <c r="B85" s="1" t="n">
        <v>45271</v>
      </c>
      <c r="C85" s="1" t="n">
        <v>45901</v>
      </c>
      <c r="D85" t="inlineStr">
        <is>
          <t>GÄVLEBORGS LÄN</t>
        </is>
      </c>
      <c r="E85" t="inlineStr">
        <is>
          <t>HOFORS</t>
        </is>
      </c>
      <c r="G85" t="n">
        <v>3.6</v>
      </c>
      <c r="H85" t="n">
        <v>0</v>
      </c>
      <c r="I85" t="n">
        <v>0</v>
      </c>
      <c r="J85" t="n">
        <v>0</v>
      </c>
      <c r="K85" t="n">
        <v>0</v>
      </c>
      <c r="L85" t="n">
        <v>0</v>
      </c>
      <c r="M85" t="n">
        <v>0</v>
      </c>
      <c r="N85" t="n">
        <v>0</v>
      </c>
      <c r="O85" t="n">
        <v>0</v>
      </c>
      <c r="P85" t="n">
        <v>0</v>
      </c>
      <c r="Q85" t="n">
        <v>0</v>
      </c>
      <c r="R85" s="2" t="inlineStr"/>
    </row>
    <row r="86" ht="15" customHeight="1">
      <c r="A86" t="inlineStr">
        <is>
          <t>A 47524-2024</t>
        </is>
      </c>
      <c r="B86" s="1" t="n">
        <v>45587.63166666667</v>
      </c>
      <c r="C86" s="1" t="n">
        <v>45901</v>
      </c>
      <c r="D86" t="inlineStr">
        <is>
          <t>GÄVLEBORGS LÄN</t>
        </is>
      </c>
      <c r="E86" t="inlineStr">
        <is>
          <t>HOFORS</t>
        </is>
      </c>
      <c r="G86" t="n">
        <v>3.1</v>
      </c>
      <c r="H86" t="n">
        <v>0</v>
      </c>
      <c r="I86" t="n">
        <v>0</v>
      </c>
      <c r="J86" t="n">
        <v>0</v>
      </c>
      <c r="K86" t="n">
        <v>0</v>
      </c>
      <c r="L86" t="n">
        <v>0</v>
      </c>
      <c r="M86" t="n">
        <v>0</v>
      </c>
      <c r="N86" t="n">
        <v>0</v>
      </c>
      <c r="O86" t="n">
        <v>0</v>
      </c>
      <c r="P86" t="n">
        <v>0</v>
      </c>
      <c r="Q86" t="n">
        <v>0</v>
      </c>
      <c r="R86" s="2" t="inlineStr"/>
    </row>
    <row r="87" ht="15" customHeight="1">
      <c r="A87" t="inlineStr">
        <is>
          <t>A 35114-2023</t>
        </is>
      </c>
      <c r="B87" s="1" t="n">
        <v>45145</v>
      </c>
      <c r="C87" s="1" t="n">
        <v>45901</v>
      </c>
      <c r="D87" t="inlineStr">
        <is>
          <t>GÄVLEBORGS LÄN</t>
        </is>
      </c>
      <c r="E87" t="inlineStr">
        <is>
          <t>HOFORS</t>
        </is>
      </c>
      <c r="G87" t="n">
        <v>3</v>
      </c>
      <c r="H87" t="n">
        <v>0</v>
      </c>
      <c r="I87" t="n">
        <v>0</v>
      </c>
      <c r="J87" t="n">
        <v>0</v>
      </c>
      <c r="K87" t="n">
        <v>0</v>
      </c>
      <c r="L87" t="n">
        <v>0</v>
      </c>
      <c r="M87" t="n">
        <v>0</v>
      </c>
      <c r="N87" t="n">
        <v>0</v>
      </c>
      <c r="O87" t="n">
        <v>0</v>
      </c>
      <c r="P87" t="n">
        <v>0</v>
      </c>
      <c r="Q87" t="n">
        <v>0</v>
      </c>
      <c r="R87" s="2" t="inlineStr"/>
    </row>
    <row r="88" ht="15" customHeight="1">
      <c r="A88" t="inlineStr">
        <is>
          <t>A 35136-2023</t>
        </is>
      </c>
      <c r="B88" s="1" t="n">
        <v>45145.52915509259</v>
      </c>
      <c r="C88" s="1" t="n">
        <v>45901</v>
      </c>
      <c r="D88" t="inlineStr">
        <is>
          <t>GÄVLEBORGS LÄN</t>
        </is>
      </c>
      <c r="E88" t="inlineStr">
        <is>
          <t>HOFORS</t>
        </is>
      </c>
      <c r="G88" t="n">
        <v>2</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45901</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23666-2025</t>
        </is>
      </c>
      <c r="B90" s="1" t="n">
        <v>45792.84364583333</v>
      </c>
      <c r="C90" s="1" t="n">
        <v>45901</v>
      </c>
      <c r="D90" t="inlineStr">
        <is>
          <t>GÄVLEBORGS LÄN</t>
        </is>
      </c>
      <c r="E90" t="inlineStr">
        <is>
          <t>HOFORS</t>
        </is>
      </c>
      <c r="G90" t="n">
        <v>0.4</v>
      </c>
      <c r="H90" t="n">
        <v>0</v>
      </c>
      <c r="I90" t="n">
        <v>0</v>
      </c>
      <c r="J90" t="n">
        <v>0</v>
      </c>
      <c r="K90" t="n">
        <v>0</v>
      </c>
      <c r="L90" t="n">
        <v>0</v>
      </c>
      <c r="M90" t="n">
        <v>0</v>
      </c>
      <c r="N90" t="n">
        <v>0</v>
      </c>
      <c r="O90" t="n">
        <v>0</v>
      </c>
      <c r="P90" t="n">
        <v>0</v>
      </c>
      <c r="Q90" t="n">
        <v>0</v>
      </c>
      <c r="R90" s="2" t="inlineStr"/>
    </row>
    <row r="91" ht="15" customHeight="1">
      <c r="A91" t="inlineStr">
        <is>
          <t>A 41020-2023</t>
        </is>
      </c>
      <c r="B91" s="1" t="n">
        <v>45173.59236111111</v>
      </c>
      <c r="C91" s="1" t="n">
        <v>45901</v>
      </c>
      <c r="D91" t="inlineStr">
        <is>
          <t>GÄVLEBORGS LÄN</t>
        </is>
      </c>
      <c r="E91" t="inlineStr">
        <is>
          <t>HOFORS</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45901</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45901</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45901</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45901</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45901</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30007-2024</t>
        </is>
      </c>
      <c r="B97" s="1" t="n">
        <v>45488.60150462963</v>
      </c>
      <c r="C97" s="1" t="n">
        <v>45901</v>
      </c>
      <c r="D97" t="inlineStr">
        <is>
          <t>GÄVLEBORGS LÄN</t>
        </is>
      </c>
      <c r="E97" t="inlineStr">
        <is>
          <t>HOFORS</t>
        </is>
      </c>
      <c r="F97" t="inlineStr">
        <is>
          <t>Sveaskog</t>
        </is>
      </c>
      <c r="G97" t="n">
        <v>11.5</v>
      </c>
      <c r="H97" t="n">
        <v>0</v>
      </c>
      <c r="I97" t="n">
        <v>0</v>
      </c>
      <c r="J97" t="n">
        <v>0</v>
      </c>
      <c r="K97" t="n">
        <v>0</v>
      </c>
      <c r="L97" t="n">
        <v>0</v>
      </c>
      <c r="M97" t="n">
        <v>0</v>
      </c>
      <c r="N97" t="n">
        <v>0</v>
      </c>
      <c r="O97" t="n">
        <v>0</v>
      </c>
      <c r="P97" t="n">
        <v>0</v>
      </c>
      <c r="Q97" t="n">
        <v>0</v>
      </c>
      <c r="R97" s="2" t="inlineStr"/>
    </row>
    <row r="98" ht="15" customHeight="1">
      <c r="A98" t="inlineStr">
        <is>
          <t>A 30009-2024</t>
        </is>
      </c>
      <c r="B98" s="1" t="n">
        <v>45488.60546296297</v>
      </c>
      <c r="C98" s="1" t="n">
        <v>45901</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13471-2024</t>
        </is>
      </c>
      <c r="B99" s="1" t="n">
        <v>45387.57859953704</v>
      </c>
      <c r="C99" s="1" t="n">
        <v>45901</v>
      </c>
      <c r="D99" t="inlineStr">
        <is>
          <t>GÄVLEBORGS LÄN</t>
        </is>
      </c>
      <c r="E99" t="inlineStr">
        <is>
          <t>HOFORS</t>
        </is>
      </c>
      <c r="G99" t="n">
        <v>2.9</v>
      </c>
      <c r="H99" t="n">
        <v>0</v>
      </c>
      <c r="I99" t="n">
        <v>0</v>
      </c>
      <c r="J99" t="n">
        <v>0</v>
      </c>
      <c r="K99" t="n">
        <v>0</v>
      </c>
      <c r="L99" t="n">
        <v>0</v>
      </c>
      <c r="M99" t="n">
        <v>0</v>
      </c>
      <c r="N99" t="n">
        <v>0</v>
      </c>
      <c r="O99" t="n">
        <v>0</v>
      </c>
      <c r="P99" t="n">
        <v>0</v>
      </c>
      <c r="Q99" t="n">
        <v>0</v>
      </c>
      <c r="R99" s="2" t="inlineStr"/>
    </row>
    <row r="100" ht="15" customHeight="1">
      <c r="A100" t="inlineStr">
        <is>
          <t>A 58787-2021</t>
        </is>
      </c>
      <c r="B100" s="1" t="n">
        <v>44489.56234953704</v>
      </c>
      <c r="C100" s="1" t="n">
        <v>45901</v>
      </c>
      <c r="D100" t="inlineStr">
        <is>
          <t>GÄVLEBORGS LÄN</t>
        </is>
      </c>
      <c r="E100" t="inlineStr">
        <is>
          <t>HOFORS</t>
        </is>
      </c>
      <c r="G100" t="n">
        <v>1.1</v>
      </c>
      <c r="H100" t="n">
        <v>0</v>
      </c>
      <c r="I100" t="n">
        <v>0</v>
      </c>
      <c r="J100" t="n">
        <v>0</v>
      </c>
      <c r="K100" t="n">
        <v>0</v>
      </c>
      <c r="L100" t="n">
        <v>0</v>
      </c>
      <c r="M100" t="n">
        <v>0</v>
      </c>
      <c r="N100" t="n">
        <v>0</v>
      </c>
      <c r="O100" t="n">
        <v>0</v>
      </c>
      <c r="P100" t="n">
        <v>0</v>
      </c>
      <c r="Q100" t="n">
        <v>0</v>
      </c>
      <c r="R100" s="2" t="inlineStr"/>
    </row>
    <row r="101" ht="15" customHeight="1">
      <c r="A101" t="inlineStr">
        <is>
          <t>A 37693-2023</t>
        </is>
      </c>
      <c r="B101" s="1" t="n">
        <v>45159.57056712963</v>
      </c>
      <c r="C101" s="1" t="n">
        <v>45901</v>
      </c>
      <c r="D101" t="inlineStr">
        <is>
          <t>GÄVLEBORGS LÄN</t>
        </is>
      </c>
      <c r="E101" t="inlineStr">
        <is>
          <t>HOFORS</t>
        </is>
      </c>
      <c r="G101" t="n">
        <v>0.6</v>
      </c>
      <c r="H101" t="n">
        <v>0</v>
      </c>
      <c r="I101" t="n">
        <v>0</v>
      </c>
      <c r="J101" t="n">
        <v>0</v>
      </c>
      <c r="K101" t="n">
        <v>0</v>
      </c>
      <c r="L101" t="n">
        <v>0</v>
      </c>
      <c r="M101" t="n">
        <v>0</v>
      </c>
      <c r="N101" t="n">
        <v>0</v>
      </c>
      <c r="O101" t="n">
        <v>0</v>
      </c>
      <c r="P101" t="n">
        <v>0</v>
      </c>
      <c r="Q101" t="n">
        <v>0</v>
      </c>
      <c r="R101" s="2" t="inlineStr"/>
    </row>
    <row r="102" ht="15" customHeight="1">
      <c r="A102" t="inlineStr">
        <is>
          <t>A 37763-2023</t>
        </is>
      </c>
      <c r="B102" s="1" t="n">
        <v>45156</v>
      </c>
      <c r="C102" s="1" t="n">
        <v>45901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49815-2024</t>
        </is>
      </c>
      <c r="B103" s="1" t="n">
        <v>45597.39709490741</v>
      </c>
      <c r="C103" s="1" t="n">
        <v>45901</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54578-2024</t>
        </is>
      </c>
      <c r="B104" s="1" t="n">
        <v>45617.65644675926</v>
      </c>
      <c r="C104" s="1" t="n">
        <v>45901</v>
      </c>
      <c r="D104" t="inlineStr">
        <is>
          <t>GÄVLEBORGS LÄN</t>
        </is>
      </c>
      <c r="E104" t="inlineStr">
        <is>
          <t>HOFORS</t>
        </is>
      </c>
      <c r="G104" t="n">
        <v>3.9</v>
      </c>
      <c r="H104" t="n">
        <v>0</v>
      </c>
      <c r="I104" t="n">
        <v>0</v>
      </c>
      <c r="J104" t="n">
        <v>0</v>
      </c>
      <c r="K104" t="n">
        <v>0</v>
      </c>
      <c r="L104" t="n">
        <v>0</v>
      </c>
      <c r="M104" t="n">
        <v>0</v>
      </c>
      <c r="N104" t="n">
        <v>0</v>
      </c>
      <c r="O104" t="n">
        <v>0</v>
      </c>
      <c r="P104" t="n">
        <v>0</v>
      </c>
      <c r="Q104" t="n">
        <v>0</v>
      </c>
      <c r="R104" s="2" t="inlineStr"/>
    </row>
    <row r="105" ht="15" customHeight="1">
      <c r="A105" t="inlineStr">
        <is>
          <t>A 13745-2023</t>
        </is>
      </c>
      <c r="B105" s="1" t="n">
        <v>45007</v>
      </c>
      <c r="C105" s="1" t="n">
        <v>45901</v>
      </c>
      <c r="D105" t="inlineStr">
        <is>
          <t>GÄVLEBORGS LÄN</t>
        </is>
      </c>
      <c r="E105" t="inlineStr">
        <is>
          <t>HOFORS</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6963-2024</t>
        </is>
      </c>
      <c r="B106" s="1" t="n">
        <v>45343.4562037037</v>
      </c>
      <c r="C106" s="1" t="n">
        <v>45901</v>
      </c>
      <c r="D106" t="inlineStr">
        <is>
          <t>GÄVLEBORGS LÄN</t>
        </is>
      </c>
      <c r="E106" t="inlineStr">
        <is>
          <t>HOFORS</t>
        </is>
      </c>
      <c r="G106" t="n">
        <v>2.4</v>
      </c>
      <c r="H106" t="n">
        <v>0</v>
      </c>
      <c r="I106" t="n">
        <v>0</v>
      </c>
      <c r="J106" t="n">
        <v>0</v>
      </c>
      <c r="K106" t="n">
        <v>0</v>
      </c>
      <c r="L106" t="n">
        <v>0</v>
      </c>
      <c r="M106" t="n">
        <v>0</v>
      </c>
      <c r="N106" t="n">
        <v>0</v>
      </c>
      <c r="O106" t="n">
        <v>0</v>
      </c>
      <c r="P106" t="n">
        <v>0</v>
      </c>
      <c r="Q106" t="n">
        <v>0</v>
      </c>
      <c r="R106" s="2" t="inlineStr"/>
    </row>
    <row r="107" ht="15" customHeight="1">
      <c r="A107" t="inlineStr">
        <is>
          <t>A 31645-2024</t>
        </is>
      </c>
      <c r="B107" s="1" t="n">
        <v>45506.60777777778</v>
      </c>
      <c r="C107" s="1" t="n">
        <v>45901</v>
      </c>
      <c r="D107" t="inlineStr">
        <is>
          <t>GÄVLEBORGS LÄN</t>
        </is>
      </c>
      <c r="E107" t="inlineStr">
        <is>
          <t>HOFORS</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26753-2025</t>
        </is>
      </c>
      <c r="B108" s="1" t="n">
        <v>45810.55490740741</v>
      </c>
      <c r="C108" s="1" t="n">
        <v>45901</v>
      </c>
      <c r="D108" t="inlineStr">
        <is>
          <t>GÄVLEBORGS LÄN</t>
        </is>
      </c>
      <c r="E108" t="inlineStr">
        <is>
          <t>HOFORS</t>
        </is>
      </c>
      <c r="G108" t="n">
        <v>1.4</v>
      </c>
      <c r="H108" t="n">
        <v>0</v>
      </c>
      <c r="I108" t="n">
        <v>0</v>
      </c>
      <c r="J108" t="n">
        <v>0</v>
      </c>
      <c r="K108" t="n">
        <v>0</v>
      </c>
      <c r="L108" t="n">
        <v>0</v>
      </c>
      <c r="M108" t="n">
        <v>0</v>
      </c>
      <c r="N108" t="n">
        <v>0</v>
      </c>
      <c r="O108" t="n">
        <v>0</v>
      </c>
      <c r="P108" t="n">
        <v>0</v>
      </c>
      <c r="Q108" t="n">
        <v>0</v>
      </c>
      <c r="R108" s="2" t="inlineStr"/>
    </row>
    <row r="109" ht="15" customHeight="1">
      <c r="A109" t="inlineStr">
        <is>
          <t>A 27438-2025</t>
        </is>
      </c>
      <c r="B109" s="1" t="n">
        <v>45813.3143287037</v>
      </c>
      <c r="C109" s="1" t="n">
        <v>45901</v>
      </c>
      <c r="D109" t="inlineStr">
        <is>
          <t>GÄVLEBORGS LÄN</t>
        </is>
      </c>
      <c r="E109" t="inlineStr">
        <is>
          <t>HOFORS</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27432-2025</t>
        </is>
      </c>
      <c r="B110" s="1" t="n">
        <v>45813</v>
      </c>
      <c r="C110" s="1" t="n">
        <v>45901</v>
      </c>
      <c r="D110" t="inlineStr">
        <is>
          <t>GÄVLEBORGS LÄN</t>
        </is>
      </c>
      <c r="E110" t="inlineStr">
        <is>
          <t>HOFORS</t>
        </is>
      </c>
      <c r="F110" t="inlineStr">
        <is>
          <t>Sveaskog</t>
        </is>
      </c>
      <c r="G110" t="n">
        <v>3.6</v>
      </c>
      <c r="H110" t="n">
        <v>0</v>
      </c>
      <c r="I110" t="n">
        <v>0</v>
      </c>
      <c r="J110" t="n">
        <v>0</v>
      </c>
      <c r="K110" t="n">
        <v>0</v>
      </c>
      <c r="L110" t="n">
        <v>0</v>
      </c>
      <c r="M110" t="n">
        <v>0</v>
      </c>
      <c r="N110" t="n">
        <v>0</v>
      </c>
      <c r="O110" t="n">
        <v>0</v>
      </c>
      <c r="P110" t="n">
        <v>0</v>
      </c>
      <c r="Q110" t="n">
        <v>0</v>
      </c>
      <c r="R110" s="2" t="inlineStr"/>
    </row>
    <row r="111" ht="15" customHeight="1">
      <c r="A111" t="inlineStr">
        <is>
          <t>A 27441-2025</t>
        </is>
      </c>
      <c r="B111" s="1" t="n">
        <v>45813.31630787037</v>
      </c>
      <c r="C111" s="1" t="n">
        <v>45901</v>
      </c>
      <c r="D111" t="inlineStr">
        <is>
          <t>GÄVLEBORGS LÄN</t>
        </is>
      </c>
      <c r="E111" t="inlineStr">
        <is>
          <t>HOFORS</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27431-2025</t>
        </is>
      </c>
      <c r="B112" s="1" t="n">
        <v>45813</v>
      </c>
      <c r="C112" s="1" t="n">
        <v>45901</v>
      </c>
      <c r="D112" t="inlineStr">
        <is>
          <t>GÄVLEBORGS LÄN</t>
        </is>
      </c>
      <c r="E112" t="inlineStr">
        <is>
          <t>HOFORS</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27436-2025</t>
        </is>
      </c>
      <c r="B113" s="1" t="n">
        <v>45813</v>
      </c>
      <c r="C113" s="1" t="n">
        <v>45901</v>
      </c>
      <c r="D113" t="inlineStr">
        <is>
          <t>GÄVLEBORGS LÄN</t>
        </is>
      </c>
      <c r="E113" t="inlineStr">
        <is>
          <t>HOFORS</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68397-2020</t>
        </is>
      </c>
      <c r="B114" s="1" t="n">
        <v>44186</v>
      </c>
      <c r="C114" s="1" t="n">
        <v>45901</v>
      </c>
      <c r="D114" t="inlineStr">
        <is>
          <t>GÄVLEBORGS LÄN</t>
        </is>
      </c>
      <c r="E114" t="inlineStr">
        <is>
          <t>HOFORS</t>
        </is>
      </c>
      <c r="G114" t="n">
        <v>4.1</v>
      </c>
      <c r="H114" t="n">
        <v>0</v>
      </c>
      <c r="I114" t="n">
        <v>0</v>
      </c>
      <c r="J114" t="n">
        <v>0</v>
      </c>
      <c r="K114" t="n">
        <v>0</v>
      </c>
      <c r="L114" t="n">
        <v>0</v>
      </c>
      <c r="M114" t="n">
        <v>0</v>
      </c>
      <c r="N114" t="n">
        <v>0</v>
      </c>
      <c r="O114" t="n">
        <v>0</v>
      </c>
      <c r="P114" t="n">
        <v>0</v>
      </c>
      <c r="Q114" t="n">
        <v>0</v>
      </c>
      <c r="R114" s="2" t="inlineStr"/>
    </row>
    <row r="115" ht="15" customHeight="1">
      <c r="A115" t="inlineStr">
        <is>
          <t>A 18347-2025</t>
        </is>
      </c>
      <c r="B115" s="1" t="n">
        <v>45762.52913194444</v>
      </c>
      <c r="C115" s="1" t="n">
        <v>45901</v>
      </c>
      <c r="D115" t="inlineStr">
        <is>
          <t>GÄVLEBORGS LÄN</t>
        </is>
      </c>
      <c r="E115" t="inlineStr">
        <is>
          <t>HOFORS</t>
        </is>
      </c>
      <c r="G115" t="n">
        <v>3.8</v>
      </c>
      <c r="H115" t="n">
        <v>0</v>
      </c>
      <c r="I115" t="n">
        <v>0</v>
      </c>
      <c r="J115" t="n">
        <v>0</v>
      </c>
      <c r="K115" t="n">
        <v>0</v>
      </c>
      <c r="L115" t="n">
        <v>0</v>
      </c>
      <c r="M115" t="n">
        <v>0</v>
      </c>
      <c r="N115" t="n">
        <v>0</v>
      </c>
      <c r="O115" t="n">
        <v>0</v>
      </c>
      <c r="P115" t="n">
        <v>0</v>
      </c>
      <c r="Q115" t="n">
        <v>0</v>
      </c>
      <c r="R115" s="2" t="inlineStr"/>
    </row>
    <row r="116" ht="15" customHeight="1">
      <c r="A116" t="inlineStr">
        <is>
          <t>A 27959-2025</t>
        </is>
      </c>
      <c r="B116" s="1" t="n">
        <v>45816</v>
      </c>
      <c r="C116" s="1" t="n">
        <v>45901</v>
      </c>
      <c r="D116" t="inlineStr">
        <is>
          <t>GÄVLEBORGS LÄN</t>
        </is>
      </c>
      <c r="E116" t="inlineStr">
        <is>
          <t>HOFORS</t>
        </is>
      </c>
      <c r="F116" t="inlineStr">
        <is>
          <t>Bergvik skog väst AB</t>
        </is>
      </c>
      <c r="G116" t="n">
        <v>45.6</v>
      </c>
      <c r="H116" t="n">
        <v>0</v>
      </c>
      <c r="I116" t="n">
        <v>0</v>
      </c>
      <c r="J116" t="n">
        <v>0</v>
      </c>
      <c r="K116" t="n">
        <v>0</v>
      </c>
      <c r="L116" t="n">
        <v>0</v>
      </c>
      <c r="M116" t="n">
        <v>0</v>
      </c>
      <c r="N116" t="n">
        <v>0</v>
      </c>
      <c r="O116" t="n">
        <v>0</v>
      </c>
      <c r="P116" t="n">
        <v>0</v>
      </c>
      <c r="Q116" t="n">
        <v>0</v>
      </c>
      <c r="R116" s="2" t="inlineStr"/>
    </row>
    <row r="117" ht="15" customHeight="1">
      <c r="A117" t="inlineStr">
        <is>
          <t>A 10184-2022</t>
        </is>
      </c>
      <c r="B117" s="1" t="n">
        <v>44622</v>
      </c>
      <c r="C117" s="1" t="n">
        <v>45901</v>
      </c>
      <c r="D117" t="inlineStr">
        <is>
          <t>GÄVLEBORGS LÄN</t>
        </is>
      </c>
      <c r="E117" t="inlineStr">
        <is>
          <t>HOFORS</t>
        </is>
      </c>
      <c r="G117" t="n">
        <v>3</v>
      </c>
      <c r="H117" t="n">
        <v>0</v>
      </c>
      <c r="I117" t="n">
        <v>0</v>
      </c>
      <c r="J117" t="n">
        <v>0</v>
      </c>
      <c r="K117" t="n">
        <v>0</v>
      </c>
      <c r="L117" t="n">
        <v>0</v>
      </c>
      <c r="M117" t="n">
        <v>0</v>
      </c>
      <c r="N117" t="n">
        <v>0</v>
      </c>
      <c r="O117" t="n">
        <v>0</v>
      </c>
      <c r="P117" t="n">
        <v>0</v>
      </c>
      <c r="Q117" t="n">
        <v>0</v>
      </c>
      <c r="R117" s="2" t="inlineStr"/>
    </row>
    <row r="118" ht="15" customHeight="1">
      <c r="A118" t="inlineStr">
        <is>
          <t>A 3891-2025</t>
        </is>
      </c>
      <c r="B118" s="1" t="n">
        <v>45684.3690625</v>
      </c>
      <c r="C118" s="1" t="n">
        <v>45901</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54149-2023</t>
        </is>
      </c>
      <c r="B119" s="1" t="n">
        <v>45232.4528125</v>
      </c>
      <c r="C119" s="1" t="n">
        <v>45901</v>
      </c>
      <c r="D119" t="inlineStr">
        <is>
          <t>GÄVLEBORGS LÄN</t>
        </is>
      </c>
      <c r="E119" t="inlineStr">
        <is>
          <t>HOFORS</t>
        </is>
      </c>
      <c r="G119" t="n">
        <v>4.6</v>
      </c>
      <c r="H119" t="n">
        <v>0</v>
      </c>
      <c r="I119" t="n">
        <v>0</v>
      </c>
      <c r="J119" t="n">
        <v>0</v>
      </c>
      <c r="K119" t="n">
        <v>0</v>
      </c>
      <c r="L119" t="n">
        <v>0</v>
      </c>
      <c r="M119" t="n">
        <v>0</v>
      </c>
      <c r="N119" t="n">
        <v>0</v>
      </c>
      <c r="O119" t="n">
        <v>0</v>
      </c>
      <c r="P119" t="n">
        <v>0</v>
      </c>
      <c r="Q119" t="n">
        <v>0</v>
      </c>
      <c r="R119" s="2" t="inlineStr"/>
    </row>
    <row r="120" ht="15" customHeight="1">
      <c r="A120" t="inlineStr">
        <is>
          <t>A 10587-2022</t>
        </is>
      </c>
      <c r="B120" s="1" t="n">
        <v>44624</v>
      </c>
      <c r="C120" s="1" t="n">
        <v>45901</v>
      </c>
      <c r="D120" t="inlineStr">
        <is>
          <t>GÄVLEBORGS LÄN</t>
        </is>
      </c>
      <c r="E120" t="inlineStr">
        <is>
          <t>HOFORS</t>
        </is>
      </c>
      <c r="G120" t="n">
        <v>5</v>
      </c>
      <c r="H120" t="n">
        <v>0</v>
      </c>
      <c r="I120" t="n">
        <v>0</v>
      </c>
      <c r="J120" t="n">
        <v>0</v>
      </c>
      <c r="K120" t="n">
        <v>0</v>
      </c>
      <c r="L120" t="n">
        <v>0</v>
      </c>
      <c r="M120" t="n">
        <v>0</v>
      </c>
      <c r="N120" t="n">
        <v>0</v>
      </c>
      <c r="O120" t="n">
        <v>0</v>
      </c>
      <c r="P120" t="n">
        <v>0</v>
      </c>
      <c r="Q120" t="n">
        <v>0</v>
      </c>
      <c r="R120" s="2" t="inlineStr"/>
    </row>
    <row r="121" ht="15" customHeight="1">
      <c r="A121" t="inlineStr">
        <is>
          <t>A 23545-2025</t>
        </is>
      </c>
      <c r="B121" s="1" t="n">
        <v>45792</v>
      </c>
      <c r="C121" s="1" t="n">
        <v>45901</v>
      </c>
      <c r="D121" t="inlineStr">
        <is>
          <t>GÄVLEBORGS LÄN</t>
        </is>
      </c>
      <c r="E121" t="inlineStr">
        <is>
          <t>HOFORS</t>
        </is>
      </c>
      <c r="G121" t="n">
        <v>3.5</v>
      </c>
      <c r="H121" t="n">
        <v>0</v>
      </c>
      <c r="I121" t="n">
        <v>0</v>
      </c>
      <c r="J121" t="n">
        <v>0</v>
      </c>
      <c r="K121" t="n">
        <v>0</v>
      </c>
      <c r="L121" t="n">
        <v>0</v>
      </c>
      <c r="M121" t="n">
        <v>0</v>
      </c>
      <c r="N121" t="n">
        <v>0</v>
      </c>
      <c r="O121" t="n">
        <v>0</v>
      </c>
      <c r="P121" t="n">
        <v>0</v>
      </c>
      <c r="Q121" t="n">
        <v>0</v>
      </c>
      <c r="R121" s="2" t="inlineStr"/>
    </row>
    <row r="122" ht="15" customHeight="1">
      <c r="A122" t="inlineStr">
        <is>
          <t>A 36283-2024</t>
        </is>
      </c>
      <c r="B122" s="1" t="n">
        <v>45534.58899305556</v>
      </c>
      <c r="C122" s="1" t="n">
        <v>45901</v>
      </c>
      <c r="D122" t="inlineStr">
        <is>
          <t>GÄVLEBORGS LÄN</t>
        </is>
      </c>
      <c r="E122" t="inlineStr">
        <is>
          <t>HOFORS</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59130-2024</t>
        </is>
      </c>
      <c r="B123" s="1" t="n">
        <v>45637</v>
      </c>
      <c r="C123" s="1" t="n">
        <v>45901</v>
      </c>
      <c r="D123" t="inlineStr">
        <is>
          <t>GÄVLEBORGS LÄN</t>
        </is>
      </c>
      <c r="E123" t="inlineStr">
        <is>
          <t>HOFORS</t>
        </is>
      </c>
      <c r="G123" t="n">
        <v>1.1</v>
      </c>
      <c r="H123" t="n">
        <v>0</v>
      </c>
      <c r="I123" t="n">
        <v>0</v>
      </c>
      <c r="J123" t="n">
        <v>0</v>
      </c>
      <c r="K123" t="n">
        <v>0</v>
      </c>
      <c r="L123" t="n">
        <v>0</v>
      </c>
      <c r="M123" t="n">
        <v>0</v>
      </c>
      <c r="N123" t="n">
        <v>0</v>
      </c>
      <c r="O123" t="n">
        <v>0</v>
      </c>
      <c r="P123" t="n">
        <v>0</v>
      </c>
      <c r="Q123" t="n">
        <v>0</v>
      </c>
      <c r="R123" s="2" t="inlineStr"/>
    </row>
    <row r="124" ht="15" customHeight="1">
      <c r="A124" t="inlineStr">
        <is>
          <t>A 36180-2025</t>
        </is>
      </c>
      <c r="B124" s="1" t="n">
        <v>45867.41327546296</v>
      </c>
      <c r="C124" s="1" t="n">
        <v>45901</v>
      </c>
      <c r="D124" t="inlineStr">
        <is>
          <t>GÄVLEBORGS LÄN</t>
        </is>
      </c>
      <c r="E124" t="inlineStr">
        <is>
          <t>HOFORS</t>
        </is>
      </c>
      <c r="G124" t="n">
        <v>11.7</v>
      </c>
      <c r="H124" t="n">
        <v>0</v>
      </c>
      <c r="I124" t="n">
        <v>0</v>
      </c>
      <c r="J124" t="n">
        <v>0</v>
      </c>
      <c r="K124" t="n">
        <v>0</v>
      </c>
      <c r="L124" t="n">
        <v>0</v>
      </c>
      <c r="M124" t="n">
        <v>0</v>
      </c>
      <c r="N124" t="n">
        <v>0</v>
      </c>
      <c r="O124" t="n">
        <v>0</v>
      </c>
      <c r="P124" t="n">
        <v>0</v>
      </c>
      <c r="Q124" t="n">
        <v>0</v>
      </c>
      <c r="R124" s="2" t="inlineStr"/>
    </row>
    <row r="125" ht="15" customHeight="1">
      <c r="A125" t="inlineStr">
        <is>
          <t>A 35498-2024</t>
        </is>
      </c>
      <c r="B125" s="1" t="n">
        <v>45531.51796296296</v>
      </c>
      <c r="C125" s="1" t="n">
        <v>45901</v>
      </c>
      <c r="D125" t="inlineStr">
        <is>
          <t>GÄVLEBORGS LÄN</t>
        </is>
      </c>
      <c r="E125" t="inlineStr">
        <is>
          <t>HOFORS</t>
        </is>
      </c>
      <c r="F125" t="inlineStr">
        <is>
          <t>Sveaskog</t>
        </is>
      </c>
      <c r="G125" t="n">
        <v>2.7</v>
      </c>
      <c r="H125" t="n">
        <v>0</v>
      </c>
      <c r="I125" t="n">
        <v>0</v>
      </c>
      <c r="J125" t="n">
        <v>0</v>
      </c>
      <c r="K125" t="n">
        <v>0</v>
      </c>
      <c r="L125" t="n">
        <v>0</v>
      </c>
      <c r="M125" t="n">
        <v>0</v>
      </c>
      <c r="N125" t="n">
        <v>0</v>
      </c>
      <c r="O125" t="n">
        <v>0</v>
      </c>
      <c r="P125" t="n">
        <v>0</v>
      </c>
      <c r="Q125" t="n">
        <v>0</v>
      </c>
      <c r="R125" s="2" t="inlineStr"/>
    </row>
    <row r="126" ht="15" customHeight="1">
      <c r="A126" t="inlineStr">
        <is>
          <t>A 48063-2024</t>
        </is>
      </c>
      <c r="B126" s="1" t="n">
        <v>45589.55237268518</v>
      </c>
      <c r="C126" s="1" t="n">
        <v>45901</v>
      </c>
      <c r="D126" t="inlineStr">
        <is>
          <t>GÄVLEBORGS LÄN</t>
        </is>
      </c>
      <c r="E126" t="inlineStr">
        <is>
          <t>HOFORS</t>
        </is>
      </c>
      <c r="G126" t="n">
        <v>3.9</v>
      </c>
      <c r="H126" t="n">
        <v>0</v>
      </c>
      <c r="I126" t="n">
        <v>0</v>
      </c>
      <c r="J126" t="n">
        <v>0</v>
      </c>
      <c r="K126" t="n">
        <v>0</v>
      </c>
      <c r="L126" t="n">
        <v>0</v>
      </c>
      <c r="M126" t="n">
        <v>0</v>
      </c>
      <c r="N126" t="n">
        <v>0</v>
      </c>
      <c r="O126" t="n">
        <v>0</v>
      </c>
      <c r="P126" t="n">
        <v>0</v>
      </c>
      <c r="Q126" t="n">
        <v>0</v>
      </c>
      <c r="R126" s="2" t="inlineStr"/>
    </row>
    <row r="127" ht="15" customHeight="1">
      <c r="A127" t="inlineStr">
        <is>
          <t>A 33979-2024</t>
        </is>
      </c>
      <c r="B127" s="1" t="n">
        <v>45523.51896990741</v>
      </c>
      <c r="C127" s="1" t="n">
        <v>45901</v>
      </c>
      <c r="D127" t="inlineStr">
        <is>
          <t>GÄVLEBORGS LÄN</t>
        </is>
      </c>
      <c r="E127" t="inlineStr">
        <is>
          <t>HOFORS</t>
        </is>
      </c>
      <c r="G127" t="n">
        <v>1.7</v>
      </c>
      <c r="H127" t="n">
        <v>0</v>
      </c>
      <c r="I127" t="n">
        <v>0</v>
      </c>
      <c r="J127" t="n">
        <v>0</v>
      </c>
      <c r="K127" t="n">
        <v>0</v>
      </c>
      <c r="L127" t="n">
        <v>0</v>
      </c>
      <c r="M127" t="n">
        <v>0</v>
      </c>
      <c r="N127" t="n">
        <v>0</v>
      </c>
      <c r="O127" t="n">
        <v>0</v>
      </c>
      <c r="P127" t="n">
        <v>0</v>
      </c>
      <c r="Q127" t="n">
        <v>0</v>
      </c>
      <c r="R127" s="2" t="inlineStr"/>
    </row>
    <row r="128" ht="15" customHeight="1">
      <c r="A128" t="inlineStr">
        <is>
          <t>A 26302-2025</t>
        </is>
      </c>
      <c r="B128" s="1" t="n">
        <v>45805</v>
      </c>
      <c r="C128" s="1" t="n">
        <v>45901</v>
      </c>
      <c r="D128" t="inlineStr">
        <is>
          <t>GÄVLEBORGS LÄN</t>
        </is>
      </c>
      <c r="E128" t="inlineStr">
        <is>
          <t>HOFORS</t>
        </is>
      </c>
      <c r="G128" t="n">
        <v>5.3</v>
      </c>
      <c r="H128" t="n">
        <v>0</v>
      </c>
      <c r="I128" t="n">
        <v>0</v>
      </c>
      <c r="J128" t="n">
        <v>0</v>
      </c>
      <c r="K128" t="n">
        <v>0</v>
      </c>
      <c r="L128" t="n">
        <v>0</v>
      </c>
      <c r="M128" t="n">
        <v>0</v>
      </c>
      <c r="N128" t="n">
        <v>0</v>
      </c>
      <c r="O128" t="n">
        <v>0</v>
      </c>
      <c r="P128" t="n">
        <v>0</v>
      </c>
      <c r="Q128" t="n">
        <v>0</v>
      </c>
      <c r="R128" s="2" t="inlineStr"/>
    </row>
    <row r="129" ht="15" customHeight="1">
      <c r="A129" t="inlineStr">
        <is>
          <t>A 36349-2025</t>
        </is>
      </c>
      <c r="B129" s="1" t="n">
        <v>45868.48269675926</v>
      </c>
      <c r="C129" s="1" t="n">
        <v>45901</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16371-2022</t>
        </is>
      </c>
      <c r="B130" s="1" t="n">
        <v>44671</v>
      </c>
      <c r="C130" s="1" t="n">
        <v>45901</v>
      </c>
      <c r="D130" t="inlineStr">
        <is>
          <t>GÄVLEBORGS LÄN</t>
        </is>
      </c>
      <c r="E130" t="inlineStr">
        <is>
          <t>HOFORS</t>
        </is>
      </c>
      <c r="G130" t="n">
        <v>0.8</v>
      </c>
      <c r="H130" t="n">
        <v>0</v>
      </c>
      <c r="I130" t="n">
        <v>0</v>
      </c>
      <c r="J130" t="n">
        <v>0</v>
      </c>
      <c r="K130" t="n">
        <v>0</v>
      </c>
      <c r="L130" t="n">
        <v>0</v>
      </c>
      <c r="M130" t="n">
        <v>0</v>
      </c>
      <c r="N130" t="n">
        <v>0</v>
      </c>
      <c r="O130" t="n">
        <v>0</v>
      </c>
      <c r="P130" t="n">
        <v>0</v>
      </c>
      <c r="Q130" t="n">
        <v>0</v>
      </c>
      <c r="R130" s="2" t="inlineStr"/>
    </row>
    <row r="131" ht="15" customHeight="1">
      <c r="A131" t="inlineStr">
        <is>
          <t>A 10740-2025</t>
        </is>
      </c>
      <c r="B131" s="1" t="n">
        <v>45722.41008101852</v>
      </c>
      <c r="C131" s="1" t="n">
        <v>45901</v>
      </c>
      <c r="D131" t="inlineStr">
        <is>
          <t>GÄVLEBORGS LÄN</t>
        </is>
      </c>
      <c r="E131" t="inlineStr">
        <is>
          <t>HOFORS</t>
        </is>
      </c>
      <c r="G131" t="n">
        <v>2.7</v>
      </c>
      <c r="H131" t="n">
        <v>0</v>
      </c>
      <c r="I131" t="n">
        <v>0</v>
      </c>
      <c r="J131" t="n">
        <v>0</v>
      </c>
      <c r="K131" t="n">
        <v>0</v>
      </c>
      <c r="L131" t="n">
        <v>0</v>
      </c>
      <c r="M131" t="n">
        <v>0</v>
      </c>
      <c r="N131" t="n">
        <v>0</v>
      </c>
      <c r="O131" t="n">
        <v>0</v>
      </c>
      <c r="P131" t="n">
        <v>0</v>
      </c>
      <c r="Q131" t="n">
        <v>0</v>
      </c>
      <c r="R131" s="2" t="inlineStr"/>
    </row>
    <row r="132" ht="15" customHeight="1">
      <c r="A132" t="inlineStr">
        <is>
          <t>A 8448-2025</t>
        </is>
      </c>
      <c r="B132" s="1" t="n">
        <v>45709</v>
      </c>
      <c r="C132" s="1" t="n">
        <v>45901</v>
      </c>
      <c r="D132" t="inlineStr">
        <is>
          <t>GÄVLEBORGS LÄN</t>
        </is>
      </c>
      <c r="E132" t="inlineStr">
        <is>
          <t>HOFORS</t>
        </is>
      </c>
      <c r="G132" t="n">
        <v>1.7</v>
      </c>
      <c r="H132" t="n">
        <v>0</v>
      </c>
      <c r="I132" t="n">
        <v>0</v>
      </c>
      <c r="J132" t="n">
        <v>0</v>
      </c>
      <c r="K132" t="n">
        <v>0</v>
      </c>
      <c r="L132" t="n">
        <v>0</v>
      </c>
      <c r="M132" t="n">
        <v>0</v>
      </c>
      <c r="N132" t="n">
        <v>0</v>
      </c>
      <c r="O132" t="n">
        <v>0</v>
      </c>
      <c r="P132" t="n">
        <v>0</v>
      </c>
      <c r="Q132" t="n">
        <v>0</v>
      </c>
      <c r="R132" s="2" t="inlineStr"/>
    </row>
    <row r="133" ht="15" customHeight="1">
      <c r="A133" t="inlineStr">
        <is>
          <t>A 47359-2024</t>
        </is>
      </c>
      <c r="B133" s="1" t="n">
        <v>45587.43547453704</v>
      </c>
      <c r="C133" s="1" t="n">
        <v>45901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23355-2024</t>
        </is>
      </c>
      <c r="B134" s="1" t="n">
        <v>45453</v>
      </c>
      <c r="C134" s="1" t="n">
        <v>45901</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17762-2022</t>
        </is>
      </c>
      <c r="B135" s="1" t="n">
        <v>44680</v>
      </c>
      <c r="C135" s="1" t="n">
        <v>45901</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37012-2025</t>
        </is>
      </c>
      <c r="B136" s="1" t="n">
        <v>45874.7066550926</v>
      </c>
      <c r="C136" s="1" t="n">
        <v>45901</v>
      </c>
      <c r="D136" t="inlineStr">
        <is>
          <t>GÄVLEBORGS LÄN</t>
        </is>
      </c>
      <c r="E136" t="inlineStr">
        <is>
          <t>HOFORS</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30495-2025</t>
        </is>
      </c>
      <c r="B137" s="1" t="n">
        <v>45830.63542824074</v>
      </c>
      <c r="C137" s="1" t="n">
        <v>45901</v>
      </c>
      <c r="D137" t="inlineStr">
        <is>
          <t>GÄVLEBORGS LÄN</t>
        </is>
      </c>
      <c r="E137" t="inlineStr">
        <is>
          <t>HOFORS</t>
        </is>
      </c>
      <c r="G137" t="n">
        <v>1</v>
      </c>
      <c r="H137" t="n">
        <v>0</v>
      </c>
      <c r="I137" t="n">
        <v>0</v>
      </c>
      <c r="J137" t="n">
        <v>0</v>
      </c>
      <c r="K137" t="n">
        <v>0</v>
      </c>
      <c r="L137" t="n">
        <v>0</v>
      </c>
      <c r="M137" t="n">
        <v>0</v>
      </c>
      <c r="N137" t="n">
        <v>0</v>
      </c>
      <c r="O137" t="n">
        <v>0</v>
      </c>
      <c r="P137" t="n">
        <v>0</v>
      </c>
      <c r="Q137" t="n">
        <v>0</v>
      </c>
      <c r="R137" s="2" t="inlineStr"/>
    </row>
    <row r="138" ht="15" customHeight="1">
      <c r="A138" t="inlineStr">
        <is>
          <t>A 43730-2023</t>
        </is>
      </c>
      <c r="B138" s="1" t="n">
        <v>45187</v>
      </c>
      <c r="C138" s="1" t="n">
        <v>45901</v>
      </c>
      <c r="D138" t="inlineStr">
        <is>
          <t>GÄVLEBORGS LÄN</t>
        </is>
      </c>
      <c r="E138" t="inlineStr">
        <is>
          <t>HOFORS</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31471-2025</t>
        </is>
      </c>
      <c r="B139" s="1" t="n">
        <v>45833.56436342592</v>
      </c>
      <c r="C139" s="1" t="n">
        <v>45901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33296-2023</t>
        </is>
      </c>
      <c r="B140" s="1" t="n">
        <v>45127.69603009259</v>
      </c>
      <c r="C140" s="1" t="n">
        <v>45901</v>
      </c>
      <c r="D140" t="inlineStr">
        <is>
          <t>GÄVLEBORGS LÄN</t>
        </is>
      </c>
      <c r="E140" t="inlineStr">
        <is>
          <t>HOFORS</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58369-2023</t>
        </is>
      </c>
      <c r="B141" s="1" t="n">
        <v>45250</v>
      </c>
      <c r="C141" s="1" t="n">
        <v>45901</v>
      </c>
      <c r="D141" t="inlineStr">
        <is>
          <t>GÄVLEBORGS LÄN</t>
        </is>
      </c>
      <c r="E141" t="inlineStr">
        <is>
          <t>HOFORS</t>
        </is>
      </c>
      <c r="G141" t="n">
        <v>2.1</v>
      </c>
      <c r="H141" t="n">
        <v>0</v>
      </c>
      <c r="I141" t="n">
        <v>0</v>
      </c>
      <c r="J141" t="n">
        <v>0</v>
      </c>
      <c r="K141" t="n">
        <v>0</v>
      </c>
      <c r="L141" t="n">
        <v>0</v>
      </c>
      <c r="M141" t="n">
        <v>0</v>
      </c>
      <c r="N141" t="n">
        <v>0</v>
      </c>
      <c r="O141" t="n">
        <v>0</v>
      </c>
      <c r="P141" t="n">
        <v>0</v>
      </c>
      <c r="Q141" t="n">
        <v>0</v>
      </c>
      <c r="R141" s="2" t="inlineStr"/>
    </row>
    <row r="142" ht="15" customHeight="1">
      <c r="A142" t="inlineStr">
        <is>
          <t>A 25477-2024</t>
        </is>
      </c>
      <c r="B142" s="1" t="n">
        <v>45463.45015046297</v>
      </c>
      <c r="C142" s="1" t="n">
        <v>45901</v>
      </c>
      <c r="D142" t="inlineStr">
        <is>
          <t>GÄVLEBORGS LÄN</t>
        </is>
      </c>
      <c r="E142" t="inlineStr">
        <is>
          <t>HOFORS</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43726-2023</t>
        </is>
      </c>
      <c r="B143" s="1" t="n">
        <v>45187</v>
      </c>
      <c r="C143" s="1" t="n">
        <v>45901</v>
      </c>
      <c r="D143" t="inlineStr">
        <is>
          <t>GÄVLEBORGS LÄN</t>
        </is>
      </c>
      <c r="E143" t="inlineStr">
        <is>
          <t>HOFORS</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6929-2023</t>
        </is>
      </c>
      <c r="B144" s="1" t="n">
        <v>44967</v>
      </c>
      <c r="C144" s="1" t="n">
        <v>45901</v>
      </c>
      <c r="D144" t="inlineStr">
        <is>
          <t>GÄVLEBORGS LÄN</t>
        </is>
      </c>
      <c r="E144" t="inlineStr">
        <is>
          <t>HOFORS</t>
        </is>
      </c>
      <c r="G144" t="n">
        <v>0.9</v>
      </c>
      <c r="H144" t="n">
        <v>0</v>
      </c>
      <c r="I144" t="n">
        <v>0</v>
      </c>
      <c r="J144" t="n">
        <v>0</v>
      </c>
      <c r="K144" t="n">
        <v>0</v>
      </c>
      <c r="L144" t="n">
        <v>0</v>
      </c>
      <c r="M144" t="n">
        <v>0</v>
      </c>
      <c r="N144" t="n">
        <v>0</v>
      </c>
      <c r="O144" t="n">
        <v>0</v>
      </c>
      <c r="P144" t="n">
        <v>0</v>
      </c>
      <c r="Q144" t="n">
        <v>0</v>
      </c>
      <c r="R144" s="2" t="inlineStr"/>
    </row>
    <row r="145" ht="15" customHeight="1">
      <c r="A145" t="inlineStr">
        <is>
          <t>A 32299-2025</t>
        </is>
      </c>
      <c r="B145" s="1" t="n">
        <v>45835</v>
      </c>
      <c r="C145" s="1" t="n">
        <v>45901</v>
      </c>
      <c r="D145" t="inlineStr">
        <is>
          <t>GÄVLEBORGS LÄN</t>
        </is>
      </c>
      <c r="E145" t="inlineStr">
        <is>
          <t>HOFORS</t>
        </is>
      </c>
      <c r="F145" t="inlineStr">
        <is>
          <t>Bergvik skog väst AB</t>
        </is>
      </c>
      <c r="G145" t="n">
        <v>12.8</v>
      </c>
      <c r="H145" t="n">
        <v>0</v>
      </c>
      <c r="I145" t="n">
        <v>0</v>
      </c>
      <c r="J145" t="n">
        <v>0</v>
      </c>
      <c r="K145" t="n">
        <v>0</v>
      </c>
      <c r="L145" t="n">
        <v>0</v>
      </c>
      <c r="M145" t="n">
        <v>0</v>
      </c>
      <c r="N145" t="n">
        <v>0</v>
      </c>
      <c r="O145" t="n">
        <v>0</v>
      </c>
      <c r="P145" t="n">
        <v>0</v>
      </c>
      <c r="Q145" t="n">
        <v>0</v>
      </c>
      <c r="R145" s="2" t="inlineStr"/>
    </row>
    <row r="146" ht="15" customHeight="1">
      <c r="A146" t="inlineStr">
        <is>
          <t>A 37444-2025</t>
        </is>
      </c>
      <c r="B146" s="1" t="n">
        <v>45877.54305555556</v>
      </c>
      <c r="C146" s="1" t="n">
        <v>45901</v>
      </c>
      <c r="D146" t="inlineStr">
        <is>
          <t>GÄVLEBORGS LÄN</t>
        </is>
      </c>
      <c r="E146" t="inlineStr">
        <is>
          <t>HOFORS</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11607-2023</t>
        </is>
      </c>
      <c r="B147" s="1" t="n">
        <v>44994</v>
      </c>
      <c r="C147" s="1" t="n">
        <v>45901</v>
      </c>
      <c r="D147" t="inlineStr">
        <is>
          <t>GÄVLEBORGS LÄN</t>
        </is>
      </c>
      <c r="E147" t="inlineStr">
        <is>
          <t>HOFORS</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17179-2025</t>
        </is>
      </c>
      <c r="B148" s="1" t="n">
        <v>45755</v>
      </c>
      <c r="C148" s="1" t="n">
        <v>45901</v>
      </c>
      <c r="D148" t="inlineStr">
        <is>
          <t>GÄVLEBORGS LÄN</t>
        </is>
      </c>
      <c r="E148" t="inlineStr">
        <is>
          <t>HOFORS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37988-2025</t>
        </is>
      </c>
      <c r="B149" s="1" t="n">
        <v>45881.70454861111</v>
      </c>
      <c r="C149" s="1" t="n">
        <v>45901</v>
      </c>
      <c r="D149" t="inlineStr">
        <is>
          <t>GÄVLEBORGS LÄN</t>
        </is>
      </c>
      <c r="E149" t="inlineStr">
        <is>
          <t>HOFORS</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58955-2023</t>
        </is>
      </c>
      <c r="B150" s="1" t="n">
        <v>45252</v>
      </c>
      <c r="C150" s="1" t="n">
        <v>45901</v>
      </c>
      <c r="D150" t="inlineStr">
        <is>
          <t>GÄVLEBORGS LÄN</t>
        </is>
      </c>
      <c r="E150" t="inlineStr">
        <is>
          <t>HOFORS</t>
        </is>
      </c>
      <c r="G150" t="n">
        <v>1.4</v>
      </c>
      <c r="H150" t="n">
        <v>0</v>
      </c>
      <c r="I150" t="n">
        <v>0</v>
      </c>
      <c r="J150" t="n">
        <v>0</v>
      </c>
      <c r="K150" t="n">
        <v>0</v>
      </c>
      <c r="L150" t="n">
        <v>0</v>
      </c>
      <c r="M150" t="n">
        <v>0</v>
      </c>
      <c r="N150" t="n">
        <v>0</v>
      </c>
      <c r="O150" t="n">
        <v>0</v>
      </c>
      <c r="P150" t="n">
        <v>0</v>
      </c>
      <c r="Q150" t="n">
        <v>0</v>
      </c>
      <c r="R150" s="2" t="inlineStr"/>
    </row>
    <row r="151" ht="15" customHeight="1">
      <c r="A151" t="inlineStr">
        <is>
          <t>A 64359-2023</t>
        </is>
      </c>
      <c r="B151" s="1" t="n">
        <v>45280</v>
      </c>
      <c r="C151" s="1" t="n">
        <v>45901</v>
      </c>
      <c r="D151" t="inlineStr">
        <is>
          <t>GÄVLEBORGS LÄN</t>
        </is>
      </c>
      <c r="E151" t="inlineStr">
        <is>
          <t>HOFORS</t>
        </is>
      </c>
      <c r="G151" t="n">
        <v>4.7</v>
      </c>
      <c r="H151" t="n">
        <v>0</v>
      </c>
      <c r="I151" t="n">
        <v>0</v>
      </c>
      <c r="J151" t="n">
        <v>0</v>
      </c>
      <c r="K151" t="n">
        <v>0</v>
      </c>
      <c r="L151" t="n">
        <v>0</v>
      </c>
      <c r="M151" t="n">
        <v>0</v>
      </c>
      <c r="N151" t="n">
        <v>0</v>
      </c>
      <c r="O151" t="n">
        <v>0</v>
      </c>
      <c r="P151" t="n">
        <v>0</v>
      </c>
      <c r="Q151" t="n">
        <v>0</v>
      </c>
      <c r="R151" s="2" t="inlineStr"/>
    </row>
    <row r="152" ht="15" customHeight="1">
      <c r="A152" t="inlineStr">
        <is>
          <t>A 58373-2023</t>
        </is>
      </c>
      <c r="B152" s="1" t="n">
        <v>45250.65805555556</v>
      </c>
      <c r="C152" s="1" t="n">
        <v>45901</v>
      </c>
      <c r="D152" t="inlineStr">
        <is>
          <t>GÄVLEBORGS LÄN</t>
        </is>
      </c>
      <c r="E152" t="inlineStr">
        <is>
          <t>HOFORS</t>
        </is>
      </c>
      <c r="G152" t="n">
        <v>0.6</v>
      </c>
      <c r="H152" t="n">
        <v>0</v>
      </c>
      <c r="I152" t="n">
        <v>0</v>
      </c>
      <c r="J152" t="n">
        <v>0</v>
      </c>
      <c r="K152" t="n">
        <v>0</v>
      </c>
      <c r="L152" t="n">
        <v>0</v>
      </c>
      <c r="M152" t="n">
        <v>0</v>
      </c>
      <c r="N152" t="n">
        <v>0</v>
      </c>
      <c r="O152" t="n">
        <v>0</v>
      </c>
      <c r="P152" t="n">
        <v>0</v>
      </c>
      <c r="Q152" t="n">
        <v>0</v>
      </c>
      <c r="R152" s="2" t="inlineStr"/>
    </row>
    <row r="153" ht="15" customHeight="1">
      <c r="A153" t="inlineStr">
        <is>
          <t>A 38486-2025</t>
        </is>
      </c>
      <c r="B153" s="1" t="n">
        <v>45884.34282407408</v>
      </c>
      <c r="C153" s="1" t="n">
        <v>45901</v>
      </c>
      <c r="D153" t="inlineStr">
        <is>
          <t>GÄVLEBORGS LÄN</t>
        </is>
      </c>
      <c r="E153" t="inlineStr">
        <is>
          <t>HOFORS</t>
        </is>
      </c>
      <c r="G153" t="n">
        <v>1.9</v>
      </c>
      <c r="H153" t="n">
        <v>0</v>
      </c>
      <c r="I153" t="n">
        <v>0</v>
      </c>
      <c r="J153" t="n">
        <v>0</v>
      </c>
      <c r="K153" t="n">
        <v>0</v>
      </c>
      <c r="L153" t="n">
        <v>0</v>
      </c>
      <c r="M153" t="n">
        <v>0</v>
      </c>
      <c r="N153" t="n">
        <v>0</v>
      </c>
      <c r="O153" t="n">
        <v>0</v>
      </c>
      <c r="P153" t="n">
        <v>0</v>
      </c>
      <c r="Q153" t="n">
        <v>0</v>
      </c>
      <c r="R153" s="2" t="inlineStr"/>
    </row>
    <row r="154" ht="15" customHeight="1">
      <c r="A154" t="inlineStr">
        <is>
          <t>A 38746-2025</t>
        </is>
      </c>
      <c r="B154" s="1" t="n">
        <v>45887.37974537037</v>
      </c>
      <c r="C154" s="1" t="n">
        <v>45901</v>
      </c>
      <c r="D154" t="inlineStr">
        <is>
          <t>GÄVLEBORGS LÄN</t>
        </is>
      </c>
      <c r="E154" t="inlineStr">
        <is>
          <t>HOFORS</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38251-2022</t>
        </is>
      </c>
      <c r="B155" s="1" t="n">
        <v>44812.4874537037</v>
      </c>
      <c r="C155" s="1" t="n">
        <v>45901</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38744-2025</t>
        </is>
      </c>
      <c r="B156" s="1" t="n">
        <v>45887.37774305556</v>
      </c>
      <c r="C156" s="1" t="n">
        <v>45901</v>
      </c>
      <c r="D156" t="inlineStr">
        <is>
          <t>GÄVLEBORGS LÄN</t>
        </is>
      </c>
      <c r="E156" t="inlineStr">
        <is>
          <t>HOFORS</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38741-2025</t>
        </is>
      </c>
      <c r="B157" s="1" t="n">
        <v>45887.37405092592</v>
      </c>
      <c r="C157" s="1" t="n">
        <v>45901</v>
      </c>
      <c r="D157" t="inlineStr">
        <is>
          <t>GÄVLEBORGS LÄN</t>
        </is>
      </c>
      <c r="E157" t="inlineStr">
        <is>
          <t>HOFORS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47504-2024</t>
        </is>
      </c>
      <c r="B158" s="1" t="n">
        <v>45587.604375</v>
      </c>
      <c r="C158" s="1" t="n">
        <v>45901</v>
      </c>
      <c r="D158" t="inlineStr">
        <is>
          <t>GÄVLEBORGS LÄN</t>
        </is>
      </c>
      <c r="E158" t="inlineStr">
        <is>
          <t>HOFORS</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43282-2021</t>
        </is>
      </c>
      <c r="B159" s="1" t="n">
        <v>44432.39119212963</v>
      </c>
      <c r="C159" s="1" t="n">
        <v>45901</v>
      </c>
      <c r="D159" t="inlineStr">
        <is>
          <t>GÄVLEBORGS LÄN</t>
        </is>
      </c>
      <c r="E159" t="inlineStr">
        <is>
          <t>HOFORS</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40393-2025</t>
        </is>
      </c>
      <c r="B160" s="1" t="n">
        <v>45895.55646990741</v>
      </c>
      <c r="C160" s="1" t="n">
        <v>45901</v>
      </c>
      <c r="D160" t="inlineStr">
        <is>
          <t>GÄVLEBORGS LÄN</t>
        </is>
      </c>
      <c r="E160" t="inlineStr">
        <is>
          <t>HOFORS</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40407-2025</t>
        </is>
      </c>
      <c r="B161" s="1" t="n">
        <v>45895.57083333333</v>
      </c>
      <c r="C161" s="1" t="n">
        <v>45901</v>
      </c>
      <c r="D161" t="inlineStr">
        <is>
          <t>GÄVLEBORGS LÄN</t>
        </is>
      </c>
      <c r="E161" t="inlineStr">
        <is>
          <t>HOFORS</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11953-2025</t>
        </is>
      </c>
      <c r="B162" s="1" t="n">
        <v>45728.56366898148</v>
      </c>
      <c r="C162" s="1" t="n">
        <v>45901</v>
      </c>
      <c r="D162" t="inlineStr">
        <is>
          <t>GÄVLEBORGS LÄN</t>
        </is>
      </c>
      <c r="E162" t="inlineStr">
        <is>
          <t>HOFORS</t>
        </is>
      </c>
      <c r="F162" t="inlineStr">
        <is>
          <t>Sveaskog</t>
        </is>
      </c>
      <c r="G162" t="n">
        <v>34.8</v>
      </c>
      <c r="H162" t="n">
        <v>0</v>
      </c>
      <c r="I162" t="n">
        <v>0</v>
      </c>
      <c r="J162" t="n">
        <v>0</v>
      </c>
      <c r="K162" t="n">
        <v>0</v>
      </c>
      <c r="L162" t="n">
        <v>0</v>
      </c>
      <c r="M162" t="n">
        <v>0</v>
      </c>
      <c r="N162" t="n">
        <v>0</v>
      </c>
      <c r="O162" t="n">
        <v>0</v>
      </c>
      <c r="P162" t="n">
        <v>0</v>
      </c>
      <c r="Q162" t="n">
        <v>0</v>
      </c>
      <c r="R162" s="2" t="inlineStr"/>
    </row>
    <row r="163" ht="15" customHeight="1">
      <c r="A163" t="inlineStr">
        <is>
          <t>A 40401-2025</t>
        </is>
      </c>
      <c r="B163" s="1" t="n">
        <v>45895.56739583334</v>
      </c>
      <c r="C163" s="1" t="n">
        <v>45901</v>
      </c>
      <c r="D163" t="inlineStr">
        <is>
          <t>GÄVLEBORGS LÄN</t>
        </is>
      </c>
      <c r="E163" t="inlineStr">
        <is>
          <t>HOFORS</t>
        </is>
      </c>
      <c r="F163" t="inlineStr">
        <is>
          <t>Sveaskog</t>
        </is>
      </c>
      <c r="G163" t="n">
        <v>12.6</v>
      </c>
      <c r="H163" t="n">
        <v>0</v>
      </c>
      <c r="I163" t="n">
        <v>0</v>
      </c>
      <c r="J163" t="n">
        <v>0</v>
      </c>
      <c r="K163" t="n">
        <v>0</v>
      </c>
      <c r="L163" t="n">
        <v>0</v>
      </c>
      <c r="M163" t="n">
        <v>0</v>
      </c>
      <c r="N163" t="n">
        <v>0</v>
      </c>
      <c r="O163" t="n">
        <v>0</v>
      </c>
      <c r="P163" t="n">
        <v>0</v>
      </c>
      <c r="Q163" t="n">
        <v>0</v>
      </c>
      <c r="R163" s="2" t="inlineStr"/>
    </row>
    <row r="164" ht="15" customHeight="1">
      <c r="A164" t="inlineStr">
        <is>
          <t>A 35475-2025</t>
        </is>
      </c>
      <c r="B164" s="1" t="n">
        <v>45855.67001157408</v>
      </c>
      <c r="C164" s="1" t="n">
        <v>45901</v>
      </c>
      <c r="D164" t="inlineStr">
        <is>
          <t>GÄVLEBORGS LÄN</t>
        </is>
      </c>
      <c r="E164" t="inlineStr">
        <is>
          <t>HOFORS</t>
        </is>
      </c>
      <c r="G164" t="n">
        <v>0.8</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44526.31943287037</v>
      </c>
      <c r="C165" s="1" t="n">
        <v>45901</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37743-2022</t>
        </is>
      </c>
      <c r="B166" s="1" t="n">
        <v>44810.58275462963</v>
      </c>
      <c r="C166" s="1" t="n">
        <v>45901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35473-2025</t>
        </is>
      </c>
      <c r="B167" s="1" t="n">
        <v>45855.66804398148</v>
      </c>
      <c r="C167" s="1" t="n">
        <v>45901</v>
      </c>
      <c r="D167" t="inlineStr">
        <is>
          <t>GÄVLEBORGS LÄN</t>
        </is>
      </c>
      <c r="E167" t="inlineStr">
        <is>
          <t>HOFORS</t>
        </is>
      </c>
      <c r="G167" t="n">
        <v>3.3</v>
      </c>
      <c r="H167" t="n">
        <v>0</v>
      </c>
      <c r="I167" t="n">
        <v>0</v>
      </c>
      <c r="J167" t="n">
        <v>0</v>
      </c>
      <c r="K167" t="n">
        <v>0</v>
      </c>
      <c r="L167" t="n">
        <v>0</v>
      </c>
      <c r="M167" t="n">
        <v>0</v>
      </c>
      <c r="N167" t="n">
        <v>0</v>
      </c>
      <c r="O167" t="n">
        <v>0</v>
      </c>
      <c r="P167" t="n">
        <v>0</v>
      </c>
      <c r="Q167" t="n">
        <v>0</v>
      </c>
      <c r="R167" s="2" t="inlineStr"/>
    </row>
    <row r="168" ht="15" customHeight="1">
      <c r="A168" t="inlineStr">
        <is>
          <t>A 51337-2023</t>
        </is>
      </c>
      <c r="B168" s="1" t="n">
        <v>45219.59144675926</v>
      </c>
      <c r="C168" s="1" t="n">
        <v>45901</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36278-2024</t>
        </is>
      </c>
      <c r="B169" s="1" t="n">
        <v>45534.58508101852</v>
      </c>
      <c r="C169" s="1" t="n">
        <v>45901</v>
      </c>
      <c r="D169" t="inlineStr">
        <is>
          <t>GÄVLEBORGS LÄN</t>
        </is>
      </c>
      <c r="E169" t="inlineStr">
        <is>
          <t>HOFORS</t>
        </is>
      </c>
      <c r="F169" t="inlineStr">
        <is>
          <t>Sveaskog</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17185-2025</t>
        </is>
      </c>
      <c r="B170" s="1" t="n">
        <v>45755</v>
      </c>
      <c r="C170" s="1" t="n">
        <v>45901</v>
      </c>
      <c r="D170" t="inlineStr">
        <is>
          <t>GÄVLEBORGS LÄN</t>
        </is>
      </c>
      <c r="E170" t="inlineStr">
        <is>
          <t>HOFORS</t>
        </is>
      </c>
      <c r="F170" t="inlineStr">
        <is>
          <t>Bergvik skog väst AB</t>
        </is>
      </c>
      <c r="G170" t="n">
        <v>10.3</v>
      </c>
      <c r="H170" t="n">
        <v>0</v>
      </c>
      <c r="I170" t="n">
        <v>0</v>
      </c>
      <c r="J170" t="n">
        <v>0</v>
      </c>
      <c r="K170" t="n">
        <v>0</v>
      </c>
      <c r="L170" t="n">
        <v>0</v>
      </c>
      <c r="M170" t="n">
        <v>0</v>
      </c>
      <c r="N170" t="n">
        <v>0</v>
      </c>
      <c r="O170" t="n">
        <v>0</v>
      </c>
      <c r="P170" t="n">
        <v>0</v>
      </c>
      <c r="Q170" t="n">
        <v>0</v>
      </c>
      <c r="R170" s="2" t="inlineStr"/>
    </row>
    <row r="171" ht="15" customHeight="1">
      <c r="A171" t="inlineStr">
        <is>
          <t>A 37680-2022</t>
        </is>
      </c>
      <c r="B171" s="1" t="n">
        <v>44810</v>
      </c>
      <c r="C171" s="1" t="n">
        <v>45901</v>
      </c>
      <c r="D171" t="inlineStr">
        <is>
          <t>GÄVLEBORGS LÄN</t>
        </is>
      </c>
      <c r="E171" t="inlineStr">
        <is>
          <t>HOFORS</t>
        </is>
      </c>
      <c r="G171" t="n">
        <v>6.6</v>
      </c>
      <c r="H171" t="n">
        <v>0</v>
      </c>
      <c r="I171" t="n">
        <v>0</v>
      </c>
      <c r="J171" t="n">
        <v>0</v>
      </c>
      <c r="K171" t="n">
        <v>0</v>
      </c>
      <c r="L171" t="n">
        <v>0</v>
      </c>
      <c r="M171" t="n">
        <v>0</v>
      </c>
      <c r="N171" t="n">
        <v>0</v>
      </c>
      <c r="O171" t="n">
        <v>0</v>
      </c>
      <c r="P171" t="n">
        <v>0</v>
      </c>
      <c r="Q171" t="n">
        <v>0</v>
      </c>
      <c r="R171" s="2" t="inlineStr"/>
    </row>
    <row r="172" ht="15" customHeight="1">
      <c r="A172" t="inlineStr">
        <is>
          <t>A 54826-2021</t>
        </is>
      </c>
      <c r="B172" s="1" t="n">
        <v>44473</v>
      </c>
      <c r="C172" s="1" t="n">
        <v>45901</v>
      </c>
      <c r="D172" t="inlineStr">
        <is>
          <t>GÄVLEBORGS LÄN</t>
        </is>
      </c>
      <c r="E172" t="inlineStr">
        <is>
          <t>HOFORS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20543-2025</t>
        </is>
      </c>
      <c r="B173" s="1" t="n">
        <v>45775.6283912037</v>
      </c>
      <c r="C173" s="1" t="n">
        <v>45901</v>
      </c>
      <c r="D173" t="inlineStr">
        <is>
          <t>GÄVLEBORGS LÄN</t>
        </is>
      </c>
      <c r="E173" t="inlineStr">
        <is>
          <t>HOFORS</t>
        </is>
      </c>
      <c r="G173" t="n">
        <v>4.3</v>
      </c>
      <c r="H173" t="n">
        <v>0</v>
      </c>
      <c r="I173" t="n">
        <v>0</v>
      </c>
      <c r="J173" t="n">
        <v>0</v>
      </c>
      <c r="K173" t="n">
        <v>0</v>
      </c>
      <c r="L173" t="n">
        <v>0</v>
      </c>
      <c r="M173" t="n">
        <v>0</v>
      </c>
      <c r="N173" t="n">
        <v>0</v>
      </c>
      <c r="O173" t="n">
        <v>0</v>
      </c>
      <c r="P173" t="n">
        <v>0</v>
      </c>
      <c r="Q173" t="n">
        <v>0</v>
      </c>
      <c r="R173" s="2" t="inlineStr"/>
    </row>
    <row r="174" ht="15" customHeight="1">
      <c r="A174" t="inlineStr">
        <is>
          <t>A 47639-2021</t>
        </is>
      </c>
      <c r="B174" s="1" t="n">
        <v>44448.3966087963</v>
      </c>
      <c r="C174" s="1" t="n">
        <v>45901</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1149-2024</t>
        </is>
      </c>
      <c r="B175" s="1" t="n">
        <v>45302.49834490741</v>
      </c>
      <c r="C175" s="1" t="n">
        <v>45901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44356-2023</t>
        </is>
      </c>
      <c r="B176" s="1" t="n">
        <v>45188.81979166667</v>
      </c>
      <c r="C176" s="1" t="n">
        <v>45901</v>
      </c>
      <c r="D176" t="inlineStr">
        <is>
          <t>GÄVLEBORGS LÄN</t>
        </is>
      </c>
      <c r="E176" t="inlineStr">
        <is>
          <t>HOFORS</t>
        </is>
      </c>
      <c r="G176" t="n">
        <v>2.1</v>
      </c>
      <c r="H176" t="n">
        <v>0</v>
      </c>
      <c r="I176" t="n">
        <v>0</v>
      </c>
      <c r="J176" t="n">
        <v>0</v>
      </c>
      <c r="K176" t="n">
        <v>0</v>
      </c>
      <c r="L176" t="n">
        <v>0</v>
      </c>
      <c r="M176" t="n">
        <v>0</v>
      </c>
      <c r="N176" t="n">
        <v>0</v>
      </c>
      <c r="O176" t="n">
        <v>0</v>
      </c>
      <c r="P176" t="n">
        <v>0</v>
      </c>
      <c r="Q176" t="n">
        <v>0</v>
      </c>
      <c r="R176" s="2" t="inlineStr"/>
    </row>
    <row r="177" ht="15" customHeight="1">
      <c r="A177" t="inlineStr">
        <is>
          <t>A 47495-2024</t>
        </is>
      </c>
      <c r="B177" s="1" t="n">
        <v>45587.59559027778</v>
      </c>
      <c r="C177" s="1" t="n">
        <v>45901</v>
      </c>
      <c r="D177" t="inlineStr">
        <is>
          <t>GÄVLEBORGS LÄN</t>
        </is>
      </c>
      <c r="E177" t="inlineStr">
        <is>
          <t>HOFORS</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28133-2024</t>
        </is>
      </c>
      <c r="B178" s="1" t="n">
        <v>45476.69053240741</v>
      </c>
      <c r="C178" s="1" t="n">
        <v>45901</v>
      </c>
      <c r="D178" t="inlineStr">
        <is>
          <t>GÄVLEBORGS LÄN</t>
        </is>
      </c>
      <c r="E178" t="inlineStr">
        <is>
          <t>HOFORS</t>
        </is>
      </c>
      <c r="G178" t="n">
        <v>3.8</v>
      </c>
      <c r="H178" t="n">
        <v>0</v>
      </c>
      <c r="I178" t="n">
        <v>0</v>
      </c>
      <c r="J178" t="n">
        <v>0</v>
      </c>
      <c r="K178" t="n">
        <v>0</v>
      </c>
      <c r="L178" t="n">
        <v>0</v>
      </c>
      <c r="M178" t="n">
        <v>0</v>
      </c>
      <c r="N178" t="n">
        <v>0</v>
      </c>
      <c r="O178" t="n">
        <v>0</v>
      </c>
      <c r="P178" t="n">
        <v>0</v>
      </c>
      <c r="Q178" t="n">
        <v>0</v>
      </c>
      <c r="R178" s="2" t="inlineStr"/>
    </row>
    <row r="179" ht="15" customHeight="1">
      <c r="A179" t="inlineStr">
        <is>
          <t>A 33978-2024</t>
        </is>
      </c>
      <c r="B179" s="1" t="n">
        <v>45523.51716435186</v>
      </c>
      <c r="C179" s="1" t="n">
        <v>45901</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33984-2024</t>
        </is>
      </c>
      <c r="B180" s="1" t="n">
        <v>45523.52378472222</v>
      </c>
      <c r="C180" s="1" t="n">
        <v>45901</v>
      </c>
      <c r="D180" t="inlineStr">
        <is>
          <t>GÄVLEBORGS LÄN</t>
        </is>
      </c>
      <c r="E180" t="inlineStr">
        <is>
          <t>HOFORS</t>
        </is>
      </c>
      <c r="G180" t="n">
        <v>0.5</v>
      </c>
      <c r="H180" t="n">
        <v>0</v>
      </c>
      <c r="I180" t="n">
        <v>0</v>
      </c>
      <c r="J180" t="n">
        <v>0</v>
      </c>
      <c r="K180" t="n">
        <v>0</v>
      </c>
      <c r="L180" t="n">
        <v>0</v>
      </c>
      <c r="M180" t="n">
        <v>0</v>
      </c>
      <c r="N180" t="n">
        <v>0</v>
      </c>
      <c r="O180" t="n">
        <v>0</v>
      </c>
      <c r="P180" t="n">
        <v>0</v>
      </c>
      <c r="Q180" t="n">
        <v>0</v>
      </c>
      <c r="R180" s="2" t="inlineStr"/>
    </row>
    <row r="181" ht="15" customHeight="1">
      <c r="A181" t="inlineStr">
        <is>
          <t>A 36763-2024</t>
        </is>
      </c>
      <c r="B181" s="1" t="n">
        <v>45538.36181712963</v>
      </c>
      <c r="C181" s="1" t="n">
        <v>45901</v>
      </c>
      <c r="D181" t="inlineStr">
        <is>
          <t>GÄVLEBORGS LÄN</t>
        </is>
      </c>
      <c r="E181" t="inlineStr">
        <is>
          <t>HOFORS</t>
        </is>
      </c>
      <c r="G181" t="n">
        <v>1.5</v>
      </c>
      <c r="H181" t="n">
        <v>0</v>
      </c>
      <c r="I181" t="n">
        <v>0</v>
      </c>
      <c r="J181" t="n">
        <v>0</v>
      </c>
      <c r="K181" t="n">
        <v>0</v>
      </c>
      <c r="L181" t="n">
        <v>0</v>
      </c>
      <c r="M181" t="n">
        <v>0</v>
      </c>
      <c r="N181" t="n">
        <v>0</v>
      </c>
      <c r="O181" t="n">
        <v>0</v>
      </c>
      <c r="P181" t="n">
        <v>0</v>
      </c>
      <c r="Q181" t="n">
        <v>0</v>
      </c>
      <c r="R181" s="2" t="inlineStr"/>
    </row>
    <row r="182" ht="15" customHeight="1">
      <c r="A182" t="inlineStr">
        <is>
          <t>A 10602-2022</t>
        </is>
      </c>
      <c r="B182" s="1" t="n">
        <v>44624</v>
      </c>
      <c r="C182" s="1" t="n">
        <v>45901</v>
      </c>
      <c r="D182" t="inlineStr">
        <is>
          <t>GÄVLEBORGS LÄN</t>
        </is>
      </c>
      <c r="E182" t="inlineStr">
        <is>
          <t>HOFORS</t>
        </is>
      </c>
      <c r="G182" t="n">
        <v>7</v>
      </c>
      <c r="H182" t="n">
        <v>0</v>
      </c>
      <c r="I182" t="n">
        <v>0</v>
      </c>
      <c r="J182" t="n">
        <v>0</v>
      </c>
      <c r="K182" t="n">
        <v>0</v>
      </c>
      <c r="L182" t="n">
        <v>0</v>
      </c>
      <c r="M182" t="n">
        <v>0</v>
      </c>
      <c r="N182" t="n">
        <v>0</v>
      </c>
      <c r="O182" t="n">
        <v>0</v>
      </c>
      <c r="P182" t="n">
        <v>0</v>
      </c>
      <c r="Q182" t="n">
        <v>0</v>
      </c>
      <c r="R182" s="2" t="inlineStr"/>
    </row>
    <row r="183" ht="15" customHeight="1">
      <c r="A183" t="inlineStr">
        <is>
          <t>A 14119-2025</t>
        </is>
      </c>
      <c r="B183" s="1" t="n">
        <v>45740.4659837963</v>
      </c>
      <c r="C183" s="1" t="n">
        <v>45901</v>
      </c>
      <c r="D183" t="inlineStr">
        <is>
          <t>GÄVLEBORGS LÄN</t>
        </is>
      </c>
      <c r="E183" t="inlineStr">
        <is>
          <t>HOFORS</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33495-2023</t>
        </is>
      </c>
      <c r="B184" s="1" t="n">
        <v>45118</v>
      </c>
      <c r="C184" s="1" t="n">
        <v>45901</v>
      </c>
      <c r="D184" t="inlineStr">
        <is>
          <t>GÄVLEBORGS LÄN</t>
        </is>
      </c>
      <c r="E184" t="inlineStr">
        <is>
          <t>HOFORS</t>
        </is>
      </c>
      <c r="F184" t="inlineStr">
        <is>
          <t>Bergvik skog väst AB</t>
        </is>
      </c>
      <c r="G184" t="n">
        <v>4.6</v>
      </c>
      <c r="H184" t="n">
        <v>0</v>
      </c>
      <c r="I184" t="n">
        <v>0</v>
      </c>
      <c r="J184" t="n">
        <v>0</v>
      </c>
      <c r="K184" t="n">
        <v>0</v>
      </c>
      <c r="L184" t="n">
        <v>0</v>
      </c>
      <c r="M184" t="n">
        <v>0</v>
      </c>
      <c r="N184" t="n">
        <v>0</v>
      </c>
      <c r="O184" t="n">
        <v>0</v>
      </c>
      <c r="P184" t="n">
        <v>0</v>
      </c>
      <c r="Q184" t="n">
        <v>0</v>
      </c>
      <c r="R184" s="2" t="inlineStr"/>
    </row>
    <row r="185" ht="15" customHeight="1">
      <c r="A185" t="inlineStr">
        <is>
          <t>A 10161-2023</t>
        </is>
      </c>
      <c r="B185" s="1" t="n">
        <v>44986</v>
      </c>
      <c r="C185" s="1" t="n">
        <v>45901</v>
      </c>
      <c r="D185" t="inlineStr">
        <is>
          <t>GÄVLEBORGS LÄN</t>
        </is>
      </c>
      <c r="E185" t="inlineStr">
        <is>
          <t>HOFORS</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45901</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6958-2024</t>
        </is>
      </c>
      <c r="B187" s="1" t="n">
        <v>45343</v>
      </c>
      <c r="C187" s="1" t="n">
        <v>45901</v>
      </c>
      <c r="D187" t="inlineStr">
        <is>
          <t>GÄVLEBORGS LÄN</t>
        </is>
      </c>
      <c r="E187" t="inlineStr">
        <is>
          <t>HOFORS</t>
        </is>
      </c>
      <c r="G187" t="n">
        <v>3.4</v>
      </c>
      <c r="H187" t="n">
        <v>0</v>
      </c>
      <c r="I187" t="n">
        <v>0</v>
      </c>
      <c r="J187" t="n">
        <v>0</v>
      </c>
      <c r="K187" t="n">
        <v>0</v>
      </c>
      <c r="L187" t="n">
        <v>0</v>
      </c>
      <c r="M187" t="n">
        <v>0</v>
      </c>
      <c r="N187" t="n">
        <v>0</v>
      </c>
      <c r="O187" t="n">
        <v>0</v>
      </c>
      <c r="P187" t="n">
        <v>0</v>
      </c>
      <c r="Q187" t="n">
        <v>0</v>
      </c>
      <c r="R187" s="2" t="inlineStr"/>
    </row>
    <row r="188" ht="15" customHeight="1">
      <c r="A188" t="inlineStr">
        <is>
          <t>A 11813-2024</t>
        </is>
      </c>
      <c r="B188" s="1" t="n">
        <v>45376.30138888889</v>
      </c>
      <c r="C188" s="1" t="n">
        <v>45901</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57632-2021</t>
        </is>
      </c>
      <c r="B189" s="1" t="n">
        <v>44484.39166666667</v>
      </c>
      <c r="C189" s="1" t="n">
        <v>45901</v>
      </c>
      <c r="D189" t="inlineStr">
        <is>
          <t>GÄVLEBORGS LÄN</t>
        </is>
      </c>
      <c r="E189" t="inlineStr">
        <is>
          <t>HOFORS</t>
        </is>
      </c>
      <c r="G189" t="n">
        <v>4.1</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45901</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51277-2022</t>
        </is>
      </c>
      <c r="B191" s="1" t="n">
        <v>44868.7127662037</v>
      </c>
      <c r="C191" s="1" t="n">
        <v>45901</v>
      </c>
      <c r="D191" t="inlineStr">
        <is>
          <t>GÄVLEBORGS LÄN</t>
        </is>
      </c>
      <c r="E191" t="inlineStr">
        <is>
          <t>HOFORS</t>
        </is>
      </c>
      <c r="G191" t="n">
        <v>1.2</v>
      </c>
      <c r="H191" t="n">
        <v>0</v>
      </c>
      <c r="I191" t="n">
        <v>0</v>
      </c>
      <c r="J191" t="n">
        <v>0</v>
      </c>
      <c r="K191" t="n">
        <v>0</v>
      </c>
      <c r="L191" t="n">
        <v>0</v>
      </c>
      <c r="M191" t="n">
        <v>0</v>
      </c>
      <c r="N191" t="n">
        <v>0</v>
      </c>
      <c r="O191" t="n">
        <v>0</v>
      </c>
      <c r="P191" t="n">
        <v>0</v>
      </c>
      <c r="Q191" t="n">
        <v>0</v>
      </c>
      <c r="R191" s="2" t="inlineStr"/>
    </row>
    <row r="192" ht="15" customHeight="1">
      <c r="A192" t="inlineStr">
        <is>
          <t>A 47493-2024</t>
        </is>
      </c>
      <c r="B192" s="1" t="n">
        <v>45587.59410879629</v>
      </c>
      <c r="C192" s="1" t="n">
        <v>45901</v>
      </c>
      <c r="D192" t="inlineStr">
        <is>
          <t>GÄVLEBORGS LÄN</t>
        </is>
      </c>
      <c r="E192" t="inlineStr">
        <is>
          <t>HOFORS</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34232-2023</t>
        </is>
      </c>
      <c r="B193" s="1" t="n">
        <v>45127</v>
      </c>
      <c r="C193" s="1" t="n">
        <v>45901</v>
      </c>
      <c r="D193" t="inlineStr">
        <is>
          <t>GÄVLEBORGS LÄN</t>
        </is>
      </c>
      <c r="E193" t="inlineStr">
        <is>
          <t>HOFORS</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25474-2024</t>
        </is>
      </c>
      <c r="B194" s="1" t="n">
        <v>45463.44631944445</v>
      </c>
      <c r="C194" s="1" t="n">
        <v>45901</v>
      </c>
      <c r="D194" t="inlineStr">
        <is>
          <t>GÄVLEBORGS LÄN</t>
        </is>
      </c>
      <c r="E194" t="inlineStr">
        <is>
          <t>HOFORS</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21027-2024</t>
        </is>
      </c>
      <c r="B195" s="1" t="n">
        <v>45439</v>
      </c>
      <c r="C195" s="1" t="n">
        <v>45901</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21028-2024</t>
        </is>
      </c>
      <c r="B196" s="1" t="n">
        <v>45439</v>
      </c>
      <c r="C196" s="1" t="n">
        <v>45901</v>
      </c>
      <c r="D196" t="inlineStr">
        <is>
          <t>GÄVLEBORGS LÄN</t>
        </is>
      </c>
      <c r="E196" t="inlineStr">
        <is>
          <t>HOFORS</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2612-2025</t>
        </is>
      </c>
      <c r="B197" s="1" t="n">
        <v>45674</v>
      </c>
      <c r="C197" s="1" t="n">
        <v>45901</v>
      </c>
      <c r="D197" t="inlineStr">
        <is>
          <t>GÄVLEBORGS LÄN</t>
        </is>
      </c>
      <c r="E197" t="inlineStr">
        <is>
          <t>HOFORS</t>
        </is>
      </c>
      <c r="G197" t="n">
        <v>3.8</v>
      </c>
      <c r="H197" t="n">
        <v>0</v>
      </c>
      <c r="I197" t="n">
        <v>0</v>
      </c>
      <c r="J197" t="n">
        <v>0</v>
      </c>
      <c r="K197" t="n">
        <v>0</v>
      </c>
      <c r="L197" t="n">
        <v>0</v>
      </c>
      <c r="M197" t="n">
        <v>0</v>
      </c>
      <c r="N197" t="n">
        <v>0</v>
      </c>
      <c r="O197" t="n">
        <v>0</v>
      </c>
      <c r="P197" t="n">
        <v>0</v>
      </c>
      <c r="Q197" t="n">
        <v>0</v>
      </c>
      <c r="R197" s="2" t="inlineStr"/>
    </row>
    <row r="198" ht="15" customHeight="1">
      <c r="A198" t="inlineStr">
        <is>
          <t>A 32980-2023</t>
        </is>
      </c>
      <c r="B198" s="1" t="n">
        <v>45125.59980324074</v>
      </c>
      <c r="C198" s="1" t="n">
        <v>45901</v>
      </c>
      <c r="D198" t="inlineStr">
        <is>
          <t>GÄVLEBORGS LÄN</t>
        </is>
      </c>
      <c r="E198" t="inlineStr">
        <is>
          <t>HOFORS</t>
        </is>
      </c>
      <c r="G198" t="n">
        <v>0.7</v>
      </c>
      <c r="H198" t="n">
        <v>0</v>
      </c>
      <c r="I198" t="n">
        <v>0</v>
      </c>
      <c r="J198" t="n">
        <v>0</v>
      </c>
      <c r="K198" t="n">
        <v>0</v>
      </c>
      <c r="L198" t="n">
        <v>0</v>
      </c>
      <c r="M198" t="n">
        <v>0</v>
      </c>
      <c r="N198" t="n">
        <v>0</v>
      </c>
      <c r="O198" t="n">
        <v>0</v>
      </c>
      <c r="P198" t="n">
        <v>0</v>
      </c>
      <c r="Q198" t="n">
        <v>0</v>
      </c>
      <c r="R198" s="2" t="inlineStr"/>
    </row>
    <row r="199" ht="15" customHeight="1">
      <c r="A199" t="inlineStr">
        <is>
          <t>A 5557-2021</t>
        </is>
      </c>
      <c r="B199" s="1" t="n">
        <v>44230</v>
      </c>
      <c r="C199" s="1" t="n">
        <v>45901</v>
      </c>
      <c r="D199" t="inlineStr">
        <is>
          <t>GÄVLEBORGS LÄN</t>
        </is>
      </c>
      <c r="E199" t="inlineStr">
        <is>
          <t>HOFORS</t>
        </is>
      </c>
      <c r="G199" t="n">
        <v>4</v>
      </c>
      <c r="H199" t="n">
        <v>0</v>
      </c>
      <c r="I199" t="n">
        <v>0</v>
      </c>
      <c r="J199" t="n">
        <v>0</v>
      </c>
      <c r="K199" t="n">
        <v>0</v>
      </c>
      <c r="L199" t="n">
        <v>0</v>
      </c>
      <c r="M199" t="n">
        <v>0</v>
      </c>
      <c r="N199" t="n">
        <v>0</v>
      </c>
      <c r="O199" t="n">
        <v>0</v>
      </c>
      <c r="P199" t="n">
        <v>0</v>
      </c>
      <c r="Q199" t="n">
        <v>0</v>
      </c>
      <c r="R199" s="2" t="inlineStr"/>
    </row>
    <row r="200" ht="15" customHeight="1">
      <c r="A200" t="inlineStr">
        <is>
          <t>A 33710-2024</t>
        </is>
      </c>
      <c r="B200" s="1" t="n">
        <v>45520</v>
      </c>
      <c r="C200" s="1" t="n">
        <v>45901</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43143-2024</t>
        </is>
      </c>
      <c r="B201" s="1" t="n">
        <v>45567.62359953704</v>
      </c>
      <c r="C201" s="1" t="n">
        <v>45901</v>
      </c>
      <c r="D201" t="inlineStr">
        <is>
          <t>GÄVLEBORGS LÄN</t>
        </is>
      </c>
      <c r="E201" t="inlineStr">
        <is>
          <t>HOFORS</t>
        </is>
      </c>
      <c r="G201" t="n">
        <v>3.3</v>
      </c>
      <c r="H201" t="n">
        <v>0</v>
      </c>
      <c r="I201" t="n">
        <v>0</v>
      </c>
      <c r="J201" t="n">
        <v>0</v>
      </c>
      <c r="K201" t="n">
        <v>0</v>
      </c>
      <c r="L201" t="n">
        <v>0</v>
      </c>
      <c r="M201" t="n">
        <v>0</v>
      </c>
      <c r="N201" t="n">
        <v>0</v>
      </c>
      <c r="O201" t="n">
        <v>0</v>
      </c>
      <c r="P201" t="n">
        <v>0</v>
      </c>
      <c r="Q201" t="n">
        <v>0</v>
      </c>
      <c r="R201" s="2" t="inlineStr"/>
    </row>
    <row r="202" ht="15" customHeight="1">
      <c r="A202" t="inlineStr">
        <is>
          <t>A 31123-2021</t>
        </is>
      </c>
      <c r="B202" s="1" t="n">
        <v>44368</v>
      </c>
      <c r="C202" s="1" t="n">
        <v>45901</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57751-2024</t>
        </is>
      </c>
      <c r="B203" s="1" t="n">
        <v>45630.82424768519</v>
      </c>
      <c r="C203" s="1" t="n">
        <v>45901</v>
      </c>
      <c r="D203" t="inlineStr">
        <is>
          <t>GÄVLEBORGS LÄN</t>
        </is>
      </c>
      <c r="E203" t="inlineStr">
        <is>
          <t>HOFORS</t>
        </is>
      </c>
      <c r="G203" t="n">
        <v>1.8</v>
      </c>
      <c r="H203" t="n">
        <v>0</v>
      </c>
      <c r="I203" t="n">
        <v>0</v>
      </c>
      <c r="J203" t="n">
        <v>0</v>
      </c>
      <c r="K203" t="n">
        <v>0</v>
      </c>
      <c r="L203" t="n">
        <v>0</v>
      </c>
      <c r="M203" t="n">
        <v>0</v>
      </c>
      <c r="N203" t="n">
        <v>0</v>
      </c>
      <c r="O203" t="n">
        <v>0</v>
      </c>
      <c r="P203" t="n">
        <v>0</v>
      </c>
      <c r="Q203" t="n">
        <v>0</v>
      </c>
      <c r="R203" s="2" t="inlineStr"/>
    </row>
    <row r="204" ht="15" customHeight="1">
      <c r="A204" t="inlineStr">
        <is>
          <t>A 35504-2024</t>
        </is>
      </c>
      <c r="B204" s="1" t="n">
        <v>45531.53686342593</v>
      </c>
      <c r="C204" s="1" t="n">
        <v>45901</v>
      </c>
      <c r="D204" t="inlineStr">
        <is>
          <t>GÄVLEBORGS LÄN</t>
        </is>
      </c>
      <c r="E204" t="inlineStr">
        <is>
          <t>HOFORS</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32827-2024</t>
        </is>
      </c>
      <c r="B205" s="1" t="n">
        <v>45516.59273148148</v>
      </c>
      <c r="C205" s="1" t="n">
        <v>45901</v>
      </c>
      <c r="D205" t="inlineStr">
        <is>
          <t>GÄVLEBORGS LÄN</t>
        </is>
      </c>
      <c r="E205" t="inlineStr">
        <is>
          <t>HOFORS</t>
        </is>
      </c>
      <c r="F205" t="inlineStr">
        <is>
          <t>Sveaskog</t>
        </is>
      </c>
      <c r="G205" t="n">
        <v>8.5</v>
      </c>
      <c r="H205" t="n">
        <v>0</v>
      </c>
      <c r="I205" t="n">
        <v>0</v>
      </c>
      <c r="J205" t="n">
        <v>0</v>
      </c>
      <c r="K205" t="n">
        <v>0</v>
      </c>
      <c r="L205" t="n">
        <v>0</v>
      </c>
      <c r="M205" t="n">
        <v>0</v>
      </c>
      <c r="N205" t="n">
        <v>0</v>
      </c>
      <c r="O205" t="n">
        <v>0</v>
      </c>
      <c r="P205" t="n">
        <v>0</v>
      </c>
      <c r="Q205" t="n">
        <v>0</v>
      </c>
      <c r="R205" s="2" t="inlineStr"/>
    </row>
    <row r="206">
      <c r="A206" t="inlineStr">
        <is>
          <t>A 2915-2025</t>
        </is>
      </c>
      <c r="B206" s="1" t="n">
        <v>45677.96424768519</v>
      </c>
      <c r="C206" s="1" t="n">
        <v>45901</v>
      </c>
      <c r="D206" t="inlineStr">
        <is>
          <t>GÄVLEBORGS LÄN</t>
        </is>
      </c>
      <c r="E206" t="inlineStr">
        <is>
          <t>HOFORS</t>
        </is>
      </c>
      <c r="G206" t="n">
        <v>1.9</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2025-09-01T08:32:07Z</dcterms:created>
  <dcterms:modified xmlns:dcterms="http://purl.org/dc/terms/" xmlns:xsi="http://www.w3.org/2001/XMLSchema-instance" xsi:type="dcterms:W3CDTF">2025-09-01T08:32:07Z</dcterms:modified>
</cp:coreProperties>
</file>