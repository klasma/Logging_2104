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46102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46102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46102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46102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46102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46102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46102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46102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46102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46102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46102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46102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46102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46102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46102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54828-2021</t>
        </is>
      </c>
      <c r="B22" s="1" t="n">
        <v>44473</v>
      </c>
      <c r="C22" s="1" t="n">
        <v>46102</v>
      </c>
      <c r="D22" t="inlineStr">
        <is>
          <t>GÄVLEBORGS LÄN</t>
        </is>
      </c>
      <c r="E22" t="inlineStr">
        <is>
          <t>HOFORS</t>
        </is>
      </c>
      <c r="F22" t="inlineStr">
        <is>
          <t>Bergvik skog väst AB</t>
        </is>
      </c>
      <c r="G22" t="n">
        <v>5.1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54828-2021 artfynd.xlsx", "A 54828-2021")</f>
        <v/>
      </c>
      <c r="T22">
        <f>HYPERLINK("https://klasma.github.io/Logging_2104/kartor/A 54828-2021 karta.png", "A 54828-2021")</f>
        <v/>
      </c>
      <c r="U22">
        <f>HYPERLINK("https://klasma.github.io/Logging_2104/knärot/A 54828-2021 karta knärot.png", "A 54828-2021")</f>
        <v/>
      </c>
      <c r="V22">
        <f>HYPERLINK("https://klasma.github.io/Logging_2104/klagomål/A 54828-2021 FSC-klagomål.docx", "A 54828-2021")</f>
        <v/>
      </c>
      <c r="W22">
        <f>HYPERLINK("https://klasma.github.io/Logging_2104/klagomålsmail/A 54828-2021 FSC-klagomål mail.docx", "A 54828-2021")</f>
        <v/>
      </c>
      <c r="X22">
        <f>HYPERLINK("https://klasma.github.io/Logging_2104/tillsyn/A 54828-2021 tillsynsbegäran.docx", "A 54828-2021")</f>
        <v/>
      </c>
      <c r="Y22">
        <f>HYPERLINK("https://klasma.github.io/Logging_2104/tillsynsmail/A 54828-2021 tillsynsbegäran mail.docx", "A 54828-2021")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46102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46102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46102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687-2026</t>
        </is>
      </c>
      <c r="B26" s="1" t="n">
        <v>46029</v>
      </c>
      <c r="C26" s="1" t="n">
        <v>46102</v>
      </c>
      <c r="D26" t="inlineStr">
        <is>
          <t>GÄVLEBORGS LÄN</t>
        </is>
      </c>
      <c r="E26" t="inlineStr">
        <is>
          <t>HOFORS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687-2026 artfynd.xlsx", "A 687-2026")</f>
        <v/>
      </c>
      <c r="T26">
        <f>HYPERLINK("https://klasma.github.io/Logging_2104/kartor/A 687-2026 karta.png", "A 687-2026")</f>
        <v/>
      </c>
      <c r="V26">
        <f>HYPERLINK("https://klasma.github.io/Logging_2104/klagomål/A 687-2026 FSC-klagomål.docx", "A 687-2026")</f>
        <v/>
      </c>
      <c r="W26">
        <f>HYPERLINK("https://klasma.github.io/Logging_2104/klagomålsmail/A 687-2026 FSC-klagomål mail.docx", "A 687-2026")</f>
        <v/>
      </c>
      <c r="X26">
        <f>HYPERLINK("https://klasma.github.io/Logging_2104/tillsyn/A 687-2026 tillsynsbegäran.docx", "A 687-2026")</f>
        <v/>
      </c>
      <c r="Y26">
        <f>HYPERLINK("https://klasma.github.io/Logging_2104/tillsynsmail/A 687-2026 tillsynsbegäran mail.docx", "A 687-2026")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46102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11372-2026</t>
        </is>
      </c>
      <c r="B28" s="1" t="n">
        <v>46083.38783564815</v>
      </c>
      <c r="C28" s="1" t="n">
        <v>46102</v>
      </c>
      <c r="D28" t="inlineStr">
        <is>
          <t>GÄVLEBORGS LÄN</t>
        </is>
      </c>
      <c r="E28" t="inlineStr">
        <is>
          <t>HOFORS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HYPERLINK("https://klasma.github.io/Logging_2104/artfynd/A 11372-2026 artfynd.xlsx", "A 11372-2026")</f>
        <v/>
      </c>
      <c r="T28">
        <f>HYPERLINK("https://klasma.github.io/Logging_2104/kartor/A 11372-2026 karta.png", "A 11372-2026")</f>
        <v/>
      </c>
      <c r="U28">
        <f>HYPERLINK("https://klasma.github.io/Logging_2104/knärot/A 11372-2026 karta knärot.png", "A 11372-2026")</f>
        <v/>
      </c>
      <c r="V28">
        <f>HYPERLINK("https://klasma.github.io/Logging_2104/klagomål/A 11372-2026 FSC-klagomål.docx", "A 11372-2026")</f>
        <v/>
      </c>
      <c r="W28">
        <f>HYPERLINK("https://klasma.github.io/Logging_2104/klagomålsmail/A 11372-2026 FSC-klagomål mail.docx", "A 11372-2026")</f>
        <v/>
      </c>
      <c r="X28">
        <f>HYPERLINK("https://klasma.github.io/Logging_2104/tillsyn/A 11372-2026 tillsynsbegäran.docx", "A 11372-2026")</f>
        <v/>
      </c>
      <c r="Y28">
        <f>HYPERLINK("https://klasma.github.io/Logging_2104/tillsynsmail/A 11372-2026 tillsynsbegäran mail.docx", "A 11372-2026")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46102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11867-2026</t>
        </is>
      </c>
      <c r="B30" s="1" t="n">
        <v>46085.4849537037</v>
      </c>
      <c r="C30" s="1" t="n">
        <v>46102</v>
      </c>
      <c r="D30" t="inlineStr">
        <is>
          <t>GÄVLEBORGS LÄN</t>
        </is>
      </c>
      <c r="E30" t="inlineStr">
        <is>
          <t>HOFORS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HYPERLINK("https://klasma.github.io/Logging_2104/artfynd/A 11867-2026 artfynd.xlsx", "A 11867-2026")</f>
        <v/>
      </c>
      <c r="T30">
        <f>HYPERLINK("https://klasma.github.io/Logging_2104/kartor/A 11867-2026 karta.png", "A 11867-2026")</f>
        <v/>
      </c>
      <c r="V30">
        <f>HYPERLINK("https://klasma.github.io/Logging_2104/klagomål/A 11867-2026 FSC-klagomål.docx", "A 11867-2026")</f>
        <v/>
      </c>
      <c r="W30">
        <f>HYPERLINK("https://klasma.github.io/Logging_2104/klagomålsmail/A 11867-2026 FSC-klagomål mail.docx", "A 11867-2026")</f>
        <v/>
      </c>
      <c r="X30">
        <f>HYPERLINK("https://klasma.github.io/Logging_2104/tillsyn/A 11867-2026 tillsynsbegäran.docx", "A 11867-2026")</f>
        <v/>
      </c>
      <c r="Y30">
        <f>HYPERLINK("https://klasma.github.io/Logging_2104/tillsynsmail/A 11867-2026 tillsynsbegäran mail.docx", "A 11867-2026")</f>
        <v/>
      </c>
    </row>
    <row r="31" ht="15" customHeight="1">
      <c r="A31" t="inlineStr">
        <is>
          <t>A 11853-2026</t>
        </is>
      </c>
      <c r="B31" s="1" t="n">
        <v>46085.4643287037</v>
      </c>
      <c r="C31" s="1" t="n">
        <v>46102</v>
      </c>
      <c r="D31" t="inlineStr">
        <is>
          <t>GÄVLEBORGS LÄN</t>
        </is>
      </c>
      <c r="E31" t="inlineStr">
        <is>
          <t>HOFORS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11853-2026 artfynd.xlsx", "A 11853-2026")</f>
        <v/>
      </c>
      <c r="T31">
        <f>HYPERLINK("https://klasma.github.io/Logging_2104/kartor/A 11853-2026 karta.png", "A 11853-2026")</f>
        <v/>
      </c>
      <c r="V31">
        <f>HYPERLINK("https://klasma.github.io/Logging_2104/klagomål/A 11853-2026 FSC-klagomål.docx", "A 11853-2026")</f>
        <v/>
      </c>
      <c r="W31">
        <f>HYPERLINK("https://klasma.github.io/Logging_2104/klagomålsmail/A 11853-2026 FSC-klagomål mail.docx", "A 11853-2026")</f>
        <v/>
      </c>
      <c r="X31">
        <f>HYPERLINK("https://klasma.github.io/Logging_2104/tillsyn/A 11853-2026 tillsynsbegäran.docx", "A 11853-2026")</f>
        <v/>
      </c>
      <c r="Y31">
        <f>HYPERLINK("https://klasma.github.io/Logging_2104/tillsynsmail/A 11853-2026 tillsynsbegäran mail.docx", "A 11853-2026")</f>
        <v/>
      </c>
    </row>
    <row r="32" ht="15" customHeight="1">
      <c r="A32" t="inlineStr">
        <is>
          <t>A 13579-2026</t>
        </is>
      </c>
      <c r="B32" s="1" t="n">
        <v>46095.76462962963</v>
      </c>
      <c r="C32" s="1" t="n">
        <v>46102</v>
      </c>
      <c r="D32" t="inlineStr">
        <is>
          <t>GÄVLEBORGS LÄN</t>
        </is>
      </c>
      <c r="E32" t="inlineStr">
        <is>
          <t>HOFORS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13579-2026 artfynd.xlsx", "A 13579-2026")</f>
        <v/>
      </c>
      <c r="T32">
        <f>HYPERLINK("https://klasma.github.io/Logging_2104/kartor/A 13579-2026 karta.png", "A 13579-2026")</f>
        <v/>
      </c>
      <c r="V32">
        <f>HYPERLINK("https://klasma.github.io/Logging_2104/klagomål/A 13579-2026 FSC-klagomål.docx", "A 13579-2026")</f>
        <v/>
      </c>
      <c r="W32">
        <f>HYPERLINK("https://klasma.github.io/Logging_2104/klagomålsmail/A 13579-2026 FSC-klagomål mail.docx", "A 13579-2026")</f>
        <v/>
      </c>
      <c r="X32">
        <f>HYPERLINK("https://klasma.github.io/Logging_2104/tillsyn/A 13579-2026 tillsynsbegäran.docx", "A 13579-2026")</f>
        <v/>
      </c>
      <c r="Y32">
        <f>HYPERLINK("https://klasma.github.io/Logging_2104/tillsynsmail/A 13579-2026 tillsynsbegäran mail.docx", "A 13579-2026")</f>
        <v/>
      </c>
    </row>
    <row r="33" ht="15" customHeight="1">
      <c r="A33" t="inlineStr">
        <is>
          <t>A 12780-2026</t>
        </is>
      </c>
      <c r="B33" s="1" t="n">
        <v>46091</v>
      </c>
      <c r="C33" s="1" t="n">
        <v>46102</v>
      </c>
      <c r="D33" t="inlineStr">
        <is>
          <t>GÄVLEBORGS LÄN</t>
        </is>
      </c>
      <c r="E33" t="inlineStr">
        <is>
          <t>HOFORS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12780-2026 artfynd.xlsx", "A 12780-2026")</f>
        <v/>
      </c>
      <c r="T33">
        <f>HYPERLINK("https://klasma.github.io/Logging_2104/kartor/A 12780-2026 karta.png", "A 12780-2026")</f>
        <v/>
      </c>
      <c r="V33">
        <f>HYPERLINK("https://klasma.github.io/Logging_2104/klagomål/A 12780-2026 FSC-klagomål.docx", "A 12780-2026")</f>
        <v/>
      </c>
      <c r="W33">
        <f>HYPERLINK("https://klasma.github.io/Logging_2104/klagomålsmail/A 12780-2026 FSC-klagomål mail.docx", "A 12780-2026")</f>
        <v/>
      </c>
      <c r="X33">
        <f>HYPERLINK("https://klasma.github.io/Logging_2104/tillsyn/A 12780-2026 tillsynsbegäran.docx", "A 12780-2026")</f>
        <v/>
      </c>
      <c r="Y33">
        <f>HYPERLINK("https://klasma.github.io/Logging_2104/tillsynsmail/A 12780-2026 tillsynsbegäran mail.docx", "A 12780-2026")</f>
        <v/>
      </c>
      <c r="Z33">
        <f>HYPERLINK("https://klasma.github.io/Logging_2104/fåglar/A 12780-2026 prioriterade fågelarter.docx", "A 12780-2026")</f>
        <v/>
      </c>
    </row>
    <row r="34" ht="15" customHeight="1">
      <c r="A34" t="inlineStr">
        <is>
          <t>A 27434-2025</t>
        </is>
      </c>
      <c r="B34" s="1" t="n">
        <v>45813</v>
      </c>
      <c r="C34" s="1" t="n">
        <v>46102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27434-2025 artfynd.xlsx", "A 27434-2025")</f>
        <v/>
      </c>
      <c r="T34">
        <f>HYPERLINK("https://klasma.github.io/Logging_2104/kartor/A 27434-2025 karta.png", "A 27434-2025")</f>
        <v/>
      </c>
      <c r="V34">
        <f>HYPERLINK("https://klasma.github.io/Logging_2104/klagomål/A 27434-2025 FSC-klagomål.docx", "A 27434-2025")</f>
        <v/>
      </c>
      <c r="W34">
        <f>HYPERLINK("https://klasma.github.io/Logging_2104/klagomålsmail/A 27434-2025 FSC-klagomål mail.docx", "A 27434-2025")</f>
        <v/>
      </c>
      <c r="X34">
        <f>HYPERLINK("https://klasma.github.io/Logging_2104/tillsyn/A 27434-2025 tillsynsbegäran.docx", "A 27434-2025")</f>
        <v/>
      </c>
      <c r="Y34">
        <f>HYPERLINK("https://klasma.github.io/Logging_2104/tillsynsmail/A 27434-2025 tillsynsbegäran mail.docx", "A 27434-2025")</f>
        <v/>
      </c>
    </row>
    <row r="35" ht="15" customHeight="1">
      <c r="A35" t="inlineStr">
        <is>
          <t>A 7543-2024</t>
        </is>
      </c>
      <c r="B35" s="1" t="n">
        <v>45348</v>
      </c>
      <c r="C35" s="1" t="n">
        <v>46102</v>
      </c>
      <c r="D35" t="inlineStr">
        <is>
          <t>GÄVLEBORGS LÄN</t>
        </is>
      </c>
      <c r="E35" t="inlineStr">
        <is>
          <t>HOFORS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HYPERLINK("https://klasma.github.io/Logging_2104/artfynd/A 7543-2024 artfynd.xlsx", "A 7543-2024")</f>
        <v/>
      </c>
      <c r="T35">
        <f>HYPERLINK("https://klasma.github.io/Logging_2104/kartor/A 7543-2024 karta.png", "A 7543-2024")</f>
        <v/>
      </c>
      <c r="V35">
        <f>HYPERLINK("https://klasma.github.io/Logging_2104/klagomål/A 7543-2024 FSC-klagomål.docx", "A 7543-2024")</f>
        <v/>
      </c>
      <c r="W35">
        <f>HYPERLINK("https://klasma.github.io/Logging_2104/klagomålsmail/A 7543-2024 FSC-klagomål mail.docx", "A 7543-2024")</f>
        <v/>
      </c>
      <c r="X35">
        <f>HYPERLINK("https://klasma.github.io/Logging_2104/tillsyn/A 7543-2024 tillsynsbegäran.docx", "A 7543-2024")</f>
        <v/>
      </c>
      <c r="Y35">
        <f>HYPERLINK("https://klasma.github.io/Logging_2104/tillsynsmail/A 7543-2024 tillsynsbegäran mail.docx", "A 7543-2024")</f>
        <v/>
      </c>
    </row>
    <row r="36" ht="15" customHeight="1">
      <c r="A36" t="inlineStr">
        <is>
          <t>A 35743-2025</t>
        </is>
      </c>
      <c r="B36" s="1" t="n">
        <v>45860.54238425926</v>
      </c>
      <c r="C36" s="1" t="n">
        <v>46102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HYPERLINK("https://klasma.github.io/Logging_2104/artfynd/A 35743-2025 artfynd.xlsx", "A 35743-2025")</f>
        <v/>
      </c>
      <c r="T36">
        <f>HYPERLINK("https://klasma.github.io/Logging_2104/kartor/A 35743-2025 karta.png", "A 35743-2025")</f>
        <v/>
      </c>
      <c r="V36">
        <f>HYPERLINK("https://klasma.github.io/Logging_2104/klagomål/A 35743-2025 FSC-klagomål.docx", "A 35743-2025")</f>
        <v/>
      </c>
      <c r="W36">
        <f>HYPERLINK("https://klasma.github.io/Logging_2104/klagomålsmail/A 35743-2025 FSC-klagomål mail.docx", "A 35743-2025")</f>
        <v/>
      </c>
      <c r="X36">
        <f>HYPERLINK("https://klasma.github.io/Logging_2104/tillsyn/A 35743-2025 tillsynsbegäran.docx", "A 35743-2025")</f>
        <v/>
      </c>
      <c r="Y36">
        <f>HYPERLINK("https://klasma.github.io/Logging_2104/tillsynsmail/A 35743-2025 tillsynsbegäran mail.docx", "A 35743-2025")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46102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46102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46102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46102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46102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33298-2023</t>
        </is>
      </c>
      <c r="B42" s="1" t="n">
        <v>45127</v>
      </c>
      <c r="C42" s="1" t="n">
        <v>46102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5.6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HYPERLINK("https://klasma.github.io/Logging_2104/artfynd/A 33298-2023 artfynd.xlsx", "A 33298-2023")</f>
        <v/>
      </c>
      <c r="T42">
        <f>HYPERLINK("https://klasma.github.io/Logging_2104/kartor/A 33298-2023 karta.png", "A 33298-2023")</f>
        <v/>
      </c>
      <c r="V42">
        <f>HYPERLINK("https://klasma.github.io/Logging_2104/klagomål/A 33298-2023 FSC-klagomål.docx", "A 33298-2023")</f>
        <v/>
      </c>
      <c r="W42">
        <f>HYPERLINK("https://klasma.github.io/Logging_2104/klagomålsmail/A 33298-2023 FSC-klagomål mail.docx", "A 33298-2023")</f>
        <v/>
      </c>
      <c r="X42">
        <f>HYPERLINK("https://klasma.github.io/Logging_2104/tillsyn/A 33298-2023 tillsynsbegäran.docx", "A 33298-2023")</f>
        <v/>
      </c>
      <c r="Y42">
        <f>HYPERLINK("https://klasma.github.io/Logging_2104/tillsynsmail/A 33298-2023 tillsynsbegäran mail.docx", "A 33298-2023")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46102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46102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46102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47219-2024</t>
        </is>
      </c>
      <c r="B46" s="1" t="n">
        <v>45586</v>
      </c>
      <c r="C46" s="1" t="n">
        <v>46102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HYPERLINK("https://klasma.github.io/Logging_2104/artfynd/A 47219-2024 artfynd.xlsx", "A 47219-2024")</f>
        <v/>
      </c>
      <c r="T46">
        <f>HYPERLINK("https://klasma.github.io/Logging_2104/kartor/A 47219-2024 karta.png", "A 47219-2024")</f>
        <v/>
      </c>
      <c r="V46">
        <f>HYPERLINK("https://klasma.github.io/Logging_2104/klagomål/A 47219-2024 FSC-klagomål.docx", "A 47219-2024")</f>
        <v/>
      </c>
      <c r="W46">
        <f>HYPERLINK("https://klasma.github.io/Logging_2104/klagomålsmail/A 47219-2024 FSC-klagomål mail.docx", "A 47219-2024")</f>
        <v/>
      </c>
      <c r="X46">
        <f>HYPERLINK("https://klasma.github.io/Logging_2104/tillsyn/A 47219-2024 tillsynsbegäran.docx", "A 47219-2024")</f>
        <v/>
      </c>
      <c r="Y46">
        <f>HYPERLINK("https://klasma.github.io/Logging_2104/tillsynsmail/A 47219-2024 tillsynsbegäran mail.docx", "A 47219-2024")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46102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46102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46102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46102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46102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46102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46102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46102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46102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46102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46102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46102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46102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46102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46102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46102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46102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46102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46102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46102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46102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46102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46102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46102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22844-2025</t>
        </is>
      </c>
      <c r="B74" s="1" t="n">
        <v>45790.32160879629</v>
      </c>
      <c r="C74" s="1" t="n">
        <v>46102</v>
      </c>
      <c r="D74" t="inlineStr">
        <is>
          <t>GÄVLEBORGS LÄN</t>
        </is>
      </c>
      <c r="E74" t="inlineStr">
        <is>
          <t>HOFORS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57596-2025</t>
        </is>
      </c>
      <c r="B75" s="1" t="n">
        <v>45980.9716087963</v>
      </c>
      <c r="C75" s="1" t="n">
        <v>46102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57593-2025</t>
        </is>
      </c>
      <c r="B76" s="1" t="n">
        <v>45980.96055555555</v>
      </c>
      <c r="C76" s="1" t="n">
        <v>46102</v>
      </c>
      <c r="D76" t="inlineStr">
        <is>
          <t>GÄVLEBORGS LÄN</t>
        </is>
      </c>
      <c r="E76" t="inlineStr">
        <is>
          <t>HOFORS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57595-2025</t>
        </is>
      </c>
      <c r="B77" s="1" t="n">
        <v>45980.97019675926</v>
      </c>
      <c r="C77" s="1" t="n">
        <v>46102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46102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57594-2025</t>
        </is>
      </c>
      <c r="B79" s="1" t="n">
        <v>45980.96221064815</v>
      </c>
      <c r="C79" s="1" t="n">
        <v>46102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4032-2025</t>
        </is>
      </c>
      <c r="B80" s="1" t="n">
        <v>45684</v>
      </c>
      <c r="C80" s="1" t="n">
        <v>46102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33296-2023</t>
        </is>
      </c>
      <c r="B81" s="1" t="n">
        <v>45127.69603009259</v>
      </c>
      <c r="C81" s="1" t="n">
        <v>46102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58324-2025</t>
        </is>
      </c>
      <c r="B82" s="1" t="n">
        <v>45985.47690972222</v>
      </c>
      <c r="C82" s="1" t="n">
        <v>46102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58008-2025</t>
        </is>
      </c>
      <c r="B83" s="1" t="n">
        <v>45982.45744212963</v>
      </c>
      <c r="C83" s="1" t="n">
        <v>46102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58633-2025</t>
        </is>
      </c>
      <c r="B84" s="1" t="n">
        <v>45986.48885416667</v>
      </c>
      <c r="C84" s="1" t="n">
        <v>46102</v>
      </c>
      <c r="D84" t="inlineStr">
        <is>
          <t>GÄVLEBORGS LÄN</t>
        </is>
      </c>
      <c r="E84" t="inlineStr">
        <is>
          <t>HOFORS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46102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58805-2025</t>
        </is>
      </c>
      <c r="B86" s="1" t="n">
        <v>45986.9652662037</v>
      </c>
      <c r="C86" s="1" t="n">
        <v>46102</v>
      </c>
      <c r="D86" t="inlineStr">
        <is>
          <t>GÄVLEBORGS LÄN</t>
        </is>
      </c>
      <c r="E86" t="inlineStr">
        <is>
          <t>HOFORS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40407-2025</t>
        </is>
      </c>
      <c r="B87" s="1" t="n">
        <v>45895.57083333333</v>
      </c>
      <c r="C87" s="1" t="n">
        <v>46102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23666-2025</t>
        </is>
      </c>
      <c r="B88" s="1" t="n">
        <v>45792.84364583333</v>
      </c>
      <c r="C88" s="1" t="n">
        <v>46102</v>
      </c>
      <c r="D88" t="inlineStr">
        <is>
          <t>GÄVLEBORGS LÄN</t>
        </is>
      </c>
      <c r="E88" t="inlineStr">
        <is>
          <t>HOFORS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10740-2025</t>
        </is>
      </c>
      <c r="B89" s="1" t="n">
        <v>45722.41008101852</v>
      </c>
      <c r="C89" s="1" t="n">
        <v>46102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46102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37743-2022</t>
        </is>
      </c>
      <c r="B91" s="1" t="n">
        <v>44810.58275462963</v>
      </c>
      <c r="C91" s="1" t="n">
        <v>46102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46102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46102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46102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58240-2021</t>
        </is>
      </c>
      <c r="B95" s="1" t="n">
        <v>44487.88978009259</v>
      </c>
      <c r="C95" s="1" t="n">
        <v>46102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61186-2025</t>
        </is>
      </c>
      <c r="B96" s="1" t="n">
        <v>46000.58625</v>
      </c>
      <c r="C96" s="1" t="n">
        <v>46102</v>
      </c>
      <c r="D96" t="inlineStr">
        <is>
          <t>GÄVLEBORGS LÄN</t>
        </is>
      </c>
      <c r="E96" t="inlineStr">
        <is>
          <t>HOFORS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43730-2023</t>
        </is>
      </c>
      <c r="B97" s="1" t="n">
        <v>45187</v>
      </c>
      <c r="C97" s="1" t="n">
        <v>46102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47524-2024</t>
        </is>
      </c>
      <c r="B98" s="1" t="n">
        <v>45587.63166666667</v>
      </c>
      <c r="C98" s="1" t="n">
        <v>46102</v>
      </c>
      <c r="D98" t="inlineStr">
        <is>
          <t>GÄVLEBORGS LÄN</t>
        </is>
      </c>
      <c r="E98" t="inlineStr">
        <is>
          <t>HOFORS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46102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61642-2025</t>
        </is>
      </c>
      <c r="B100" s="1" t="n">
        <v>46002.43494212963</v>
      </c>
      <c r="C100" s="1" t="n">
        <v>46102</v>
      </c>
      <c r="D100" t="inlineStr">
        <is>
          <t>GÄVLEBORGS LÄN</t>
        </is>
      </c>
      <c r="E100" t="inlineStr">
        <is>
          <t>HOFORS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44694-2025</t>
        </is>
      </c>
      <c r="B101" s="1" t="n">
        <v>45917.59674768519</v>
      </c>
      <c r="C101" s="1" t="n">
        <v>46102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24395-2025</t>
        </is>
      </c>
      <c r="B102" s="1" t="n">
        <v>45797.63881944444</v>
      </c>
      <c r="C102" s="1" t="n">
        <v>46102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11953-2025</t>
        </is>
      </c>
      <c r="B103" s="1" t="n">
        <v>45728.56366898148</v>
      </c>
      <c r="C103" s="1" t="n">
        <v>46102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44692-2025</t>
        </is>
      </c>
      <c r="B104" s="1" t="n">
        <v>45917.59540509259</v>
      </c>
      <c r="C104" s="1" t="n">
        <v>46102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46102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46102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64000-2025</t>
        </is>
      </c>
      <c r="B107" s="1" t="n">
        <v>46021.39847222222</v>
      </c>
      <c r="C107" s="1" t="n">
        <v>46102</v>
      </c>
      <c r="D107" t="inlineStr">
        <is>
          <t>GÄVLEBORGS LÄN</t>
        </is>
      </c>
      <c r="E107" t="inlineStr">
        <is>
          <t>HOFORS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59130-2024</t>
        </is>
      </c>
      <c r="B108" s="1" t="n">
        <v>45637</v>
      </c>
      <c r="C108" s="1" t="n">
        <v>46102</v>
      </c>
      <c r="D108" t="inlineStr">
        <is>
          <t>GÄVLEBORGS LÄN</t>
        </is>
      </c>
      <c r="E108" t="inlineStr">
        <is>
          <t>HOFORS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7580-2026</t>
        </is>
      </c>
      <c r="B109" s="1" t="n">
        <v>46061.63731481481</v>
      </c>
      <c r="C109" s="1" t="n">
        <v>46102</v>
      </c>
      <c r="D109" t="inlineStr">
        <is>
          <t>GÄVLEBORGS LÄN</t>
        </is>
      </c>
      <c r="E109" t="inlineStr">
        <is>
          <t>HOFORS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33981-2024</t>
        </is>
      </c>
      <c r="B110" s="1" t="n">
        <v>45523.52111111111</v>
      </c>
      <c r="C110" s="1" t="n">
        <v>46102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7581-2026</t>
        </is>
      </c>
      <c r="B111" s="1" t="n">
        <v>46061.63856481481</v>
      </c>
      <c r="C111" s="1" t="n">
        <v>46102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46102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46102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46102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8314-2026</t>
        </is>
      </c>
      <c r="B115" s="1" t="n">
        <v>46064.60053240741</v>
      </c>
      <c r="C115" s="1" t="n">
        <v>46102</v>
      </c>
      <c r="D115" t="inlineStr">
        <is>
          <t>GÄVLEBORGS LÄN</t>
        </is>
      </c>
      <c r="E115" t="inlineStr">
        <is>
          <t>HOFORS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8279-2026</t>
        </is>
      </c>
      <c r="B116" s="1" t="n">
        <v>46064.55806712963</v>
      </c>
      <c r="C116" s="1" t="n">
        <v>46102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46102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46102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46102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8321-2026</t>
        </is>
      </c>
      <c r="B120" s="1" t="n">
        <v>46064.60894675926</v>
      </c>
      <c r="C120" s="1" t="n">
        <v>46102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8250-2026</t>
        </is>
      </c>
      <c r="B121" s="1" t="n">
        <v>46064.49732638889</v>
      </c>
      <c r="C121" s="1" t="n">
        <v>46102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8275-2026</t>
        </is>
      </c>
      <c r="B122" s="1" t="n">
        <v>46064.55445601852</v>
      </c>
      <c r="C122" s="1" t="n">
        <v>46102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8239-2026</t>
        </is>
      </c>
      <c r="B123" s="1" t="n">
        <v>46064.48892361111</v>
      </c>
      <c r="C123" s="1" t="n">
        <v>46102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46102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8802-2026</t>
        </is>
      </c>
      <c r="B125" s="1" t="n">
        <v>46066.59980324074</v>
      </c>
      <c r="C125" s="1" t="n">
        <v>46102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129-2026</t>
        </is>
      </c>
      <c r="B126" s="1" t="n">
        <v>46024.59600694444</v>
      </c>
      <c r="C126" s="1" t="n">
        <v>46102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40401-2025</t>
        </is>
      </c>
      <c r="B127" s="1" t="n">
        <v>45895.56739583334</v>
      </c>
      <c r="C127" s="1" t="n">
        <v>46102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46102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59615-2023</t>
        </is>
      </c>
      <c r="B129" s="1" t="n">
        <v>45254</v>
      </c>
      <c r="C129" s="1" t="n">
        <v>46102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53517-2024</t>
        </is>
      </c>
      <c r="B130" s="1" t="n">
        <v>45614.60436342593</v>
      </c>
      <c r="C130" s="1" t="n">
        <v>46102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46102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48232-2025</t>
        </is>
      </c>
      <c r="B132" s="1" t="n">
        <v>45933.53054398148</v>
      </c>
      <c r="C132" s="1" t="n">
        <v>46102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44356-2023</t>
        </is>
      </c>
      <c r="B133" s="1" t="n">
        <v>45188.81979166667</v>
      </c>
      <c r="C133" s="1" t="n">
        <v>46102</v>
      </c>
      <c r="D133" t="inlineStr">
        <is>
          <t>GÄVLEBORGS LÄN</t>
        </is>
      </c>
      <c r="E133" t="inlineStr">
        <is>
          <t>HOFORS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9440-2026</t>
        </is>
      </c>
      <c r="B134" s="1" t="n">
        <v>46071.46555555556</v>
      </c>
      <c r="C134" s="1" t="n">
        <v>46102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48242-2025</t>
        </is>
      </c>
      <c r="B135" s="1" t="n">
        <v>45933.53510416667</v>
      </c>
      <c r="C135" s="1" t="n">
        <v>46102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46102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23355-2024</t>
        </is>
      </c>
      <c r="B137" s="1" t="n">
        <v>45453</v>
      </c>
      <c r="C137" s="1" t="n">
        <v>46102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48240-2025</t>
        </is>
      </c>
      <c r="B138" s="1" t="n">
        <v>45933.53292824074</v>
      </c>
      <c r="C138" s="1" t="n">
        <v>46102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48241-2025</t>
        </is>
      </c>
      <c r="B139" s="1" t="n">
        <v>45933.53391203703</v>
      </c>
      <c r="C139" s="1" t="n">
        <v>46102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48252-2025</t>
        </is>
      </c>
      <c r="B140" s="1" t="n">
        <v>45933.55329861111</v>
      </c>
      <c r="C140" s="1" t="n">
        <v>46102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659-2026</t>
        </is>
      </c>
      <c r="B141" s="1" t="n">
        <v>46029.58206018519</v>
      </c>
      <c r="C141" s="1" t="n">
        <v>46102</v>
      </c>
      <c r="D141" t="inlineStr">
        <is>
          <t>GÄVLEBORGS LÄN</t>
        </is>
      </c>
      <c r="E141" t="inlineStr">
        <is>
          <t>HOFORS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692-2026</t>
        </is>
      </c>
      <c r="B142" s="1" t="n">
        <v>46029</v>
      </c>
      <c r="C142" s="1" t="n">
        <v>46102</v>
      </c>
      <c r="D142" t="inlineStr">
        <is>
          <t>GÄVLEBORGS LÄN</t>
        </is>
      </c>
      <c r="E142" t="inlineStr">
        <is>
          <t>HOFORS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48231-2025</t>
        </is>
      </c>
      <c r="B143" s="1" t="n">
        <v>45933.52594907407</v>
      </c>
      <c r="C143" s="1" t="n">
        <v>46102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13744-2023</t>
        </is>
      </c>
      <c r="B144" s="1" t="n">
        <v>45007</v>
      </c>
      <c r="C144" s="1" t="n">
        <v>46102</v>
      </c>
      <c r="D144" t="inlineStr">
        <is>
          <t>GÄVLEBORGS LÄN</t>
        </is>
      </c>
      <c r="E144" t="inlineStr">
        <is>
          <t>HOFORS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681-2026</t>
        </is>
      </c>
      <c r="B145" s="1" t="n">
        <v>46029</v>
      </c>
      <c r="C145" s="1" t="n">
        <v>46102</v>
      </c>
      <c r="D145" t="inlineStr">
        <is>
          <t>GÄVLEBORGS LÄN</t>
        </is>
      </c>
      <c r="E145" t="inlineStr">
        <is>
          <t>HOFORS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683-2026</t>
        </is>
      </c>
      <c r="B146" s="1" t="n">
        <v>46029</v>
      </c>
      <c r="C146" s="1" t="n">
        <v>46102</v>
      </c>
      <c r="D146" t="inlineStr">
        <is>
          <t>GÄVLEBORGS LÄN</t>
        </is>
      </c>
      <c r="E146" t="inlineStr">
        <is>
          <t>HOFORS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688-2026</t>
        </is>
      </c>
      <c r="B147" s="1" t="n">
        <v>46029</v>
      </c>
      <c r="C147" s="1" t="n">
        <v>46102</v>
      </c>
      <c r="D147" t="inlineStr">
        <is>
          <t>GÄVLEBORGS LÄN</t>
        </is>
      </c>
      <c r="E147" t="inlineStr">
        <is>
          <t>HOFORS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64036-2025</t>
        </is>
      </c>
      <c r="B148" s="1" t="n">
        <v>46021</v>
      </c>
      <c r="C148" s="1" t="n">
        <v>46102</v>
      </c>
      <c r="D148" t="inlineStr">
        <is>
          <t>GÄVLEBORGS LÄN</t>
        </is>
      </c>
      <c r="E148" t="inlineStr">
        <is>
          <t>HOFORS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48612-2025</t>
        </is>
      </c>
      <c r="B149" s="1" t="n">
        <v>45935</v>
      </c>
      <c r="C149" s="1" t="n">
        <v>46102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802-2026</t>
        </is>
      </c>
      <c r="B150" s="1" t="n">
        <v>46030</v>
      </c>
      <c r="C150" s="1" t="n">
        <v>46102</v>
      </c>
      <c r="D150" t="inlineStr">
        <is>
          <t>GÄVLEBORGS LÄN</t>
        </is>
      </c>
      <c r="E150" t="inlineStr">
        <is>
          <t>HOFORS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48609-2025</t>
        </is>
      </c>
      <c r="B151" s="1" t="n">
        <v>45935</v>
      </c>
      <c r="C151" s="1" t="n">
        <v>46102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46102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43887-2025</t>
        </is>
      </c>
      <c r="B153" s="1" t="n">
        <v>45912.69278935185</v>
      </c>
      <c r="C153" s="1" t="n">
        <v>46102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837-2026</t>
        </is>
      </c>
      <c r="B154" s="1" t="n">
        <v>46030.3752662037</v>
      </c>
      <c r="C154" s="1" t="n">
        <v>46102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892-2026</t>
        </is>
      </c>
      <c r="B155" s="1" t="n">
        <v>46030.45260416667</v>
      </c>
      <c r="C155" s="1" t="n">
        <v>46102</v>
      </c>
      <c r="D155" t="inlineStr">
        <is>
          <t>GÄVLEBORGS LÄN</t>
        </is>
      </c>
      <c r="E155" t="inlineStr">
        <is>
          <t>HOFORS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8510-2023</t>
        </is>
      </c>
      <c r="B156" s="1" t="n">
        <v>44977.56144675926</v>
      </c>
      <c r="C156" s="1" t="n">
        <v>46102</v>
      </c>
      <c r="D156" t="inlineStr">
        <is>
          <t>GÄVLEBORGS LÄN</t>
        </is>
      </c>
      <c r="E156" t="inlineStr">
        <is>
          <t>HOFORS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45965-2025</t>
        </is>
      </c>
      <c r="B157" s="1" t="n">
        <v>45924.35655092593</v>
      </c>
      <c r="C157" s="1" t="n">
        <v>46102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22129-2023</t>
        </is>
      </c>
      <c r="B158" s="1" t="n">
        <v>45069</v>
      </c>
      <c r="C158" s="1" t="n">
        <v>46102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8324-2026</t>
        </is>
      </c>
      <c r="B159" s="1" t="n">
        <v>46064</v>
      </c>
      <c r="C159" s="1" t="n">
        <v>46102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51225-2025</t>
        </is>
      </c>
      <c r="B160" s="1" t="n">
        <v>45947.65599537037</v>
      </c>
      <c r="C160" s="1" t="n">
        <v>46102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25477-2024</t>
        </is>
      </c>
      <c r="B161" s="1" t="n">
        <v>45463.45015046297</v>
      </c>
      <c r="C161" s="1" t="n">
        <v>46102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43282-2021</t>
        </is>
      </c>
      <c r="B162" s="1" t="n">
        <v>44432.39119212963</v>
      </c>
      <c r="C162" s="1" t="n">
        <v>46102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2546-2026</t>
        </is>
      </c>
      <c r="B163" s="1" t="n">
        <v>46037.46833333333</v>
      </c>
      <c r="C163" s="1" t="n">
        <v>46102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2220-2026</t>
        </is>
      </c>
      <c r="B164" s="1" t="n">
        <v>46036.50115740741</v>
      </c>
      <c r="C164" s="1" t="n">
        <v>46102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8812-2026</t>
        </is>
      </c>
      <c r="B165" s="1" t="n">
        <v>46066</v>
      </c>
      <c r="C165" s="1" t="n">
        <v>46102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11269-2026</t>
        </is>
      </c>
      <c r="B166" s="1" t="n">
        <v>46080.57333333333</v>
      </c>
      <c r="C166" s="1" t="n">
        <v>46102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11462-2026</t>
        </is>
      </c>
      <c r="B167" s="1" t="n">
        <v>46083.57572916667</v>
      </c>
      <c r="C167" s="1" t="n">
        <v>46102</v>
      </c>
      <c r="D167" t="inlineStr">
        <is>
          <t>GÄVLEBORGS LÄN</t>
        </is>
      </c>
      <c r="E167" t="inlineStr">
        <is>
          <t>HOFORS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47495-2024</t>
        </is>
      </c>
      <c r="B168" s="1" t="n">
        <v>45587.59559027778</v>
      </c>
      <c r="C168" s="1" t="n">
        <v>46102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8748-2026</t>
        </is>
      </c>
      <c r="B169" s="1" t="n">
        <v>46066</v>
      </c>
      <c r="C169" s="1" t="n">
        <v>46102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52693-2025</t>
        </is>
      </c>
      <c r="B170" s="1" t="n">
        <v>45956.58960648148</v>
      </c>
      <c r="C170" s="1" t="n">
        <v>46102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30007-2024</t>
        </is>
      </c>
      <c r="B171" s="1" t="n">
        <v>45488.60150462963</v>
      </c>
      <c r="C171" s="1" t="n">
        <v>46102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30009-2024</t>
        </is>
      </c>
      <c r="B172" s="1" t="n">
        <v>45488.60546296297</v>
      </c>
      <c r="C172" s="1" t="n">
        <v>46102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54578-2024</t>
        </is>
      </c>
      <c r="B173" s="1" t="n">
        <v>45617.65644675926</v>
      </c>
      <c r="C173" s="1" t="n">
        <v>46102</v>
      </c>
      <c r="D173" t="inlineStr">
        <is>
          <t>GÄVLEBORGS LÄN</t>
        </is>
      </c>
      <c r="E173" t="inlineStr">
        <is>
          <t>HOFORS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49815-2024</t>
        </is>
      </c>
      <c r="B174" s="1" t="n">
        <v>45597.39709490741</v>
      </c>
      <c r="C174" s="1" t="n">
        <v>46102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3615-2026</t>
        </is>
      </c>
      <c r="B175" s="1" t="n">
        <v>46042.94633101852</v>
      </c>
      <c r="C175" s="1" t="n">
        <v>46102</v>
      </c>
      <c r="D175" t="inlineStr">
        <is>
          <t>GÄVLEBORGS LÄN</t>
        </is>
      </c>
      <c r="E175" t="inlineStr">
        <is>
          <t>HOFORS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11873-2026</t>
        </is>
      </c>
      <c r="B176" s="1" t="n">
        <v>46085.49292824074</v>
      </c>
      <c r="C176" s="1" t="n">
        <v>46102</v>
      </c>
      <c r="D176" t="inlineStr">
        <is>
          <t>GÄVLEBORGS LÄN</t>
        </is>
      </c>
      <c r="E176" t="inlineStr">
        <is>
          <t>HOFORS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46102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3614-2026</t>
        </is>
      </c>
      <c r="B178" s="1" t="n">
        <v>46042.94263888889</v>
      </c>
      <c r="C178" s="1" t="n">
        <v>46102</v>
      </c>
      <c r="D178" t="inlineStr">
        <is>
          <t>GÄVLEBORGS LÄN</t>
        </is>
      </c>
      <c r="E178" t="inlineStr">
        <is>
          <t>HOFORS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35505-2024</t>
        </is>
      </c>
      <c r="B179" s="1" t="n">
        <v>45531.53869212963</v>
      </c>
      <c r="C179" s="1" t="n">
        <v>46102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35514-2024</t>
        </is>
      </c>
      <c r="B180" s="1" t="n">
        <v>45531.56472222223</v>
      </c>
      <c r="C180" s="1" t="n">
        <v>46102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11871-2026</t>
        </is>
      </c>
      <c r="B181" s="1" t="n">
        <v>46085.49053240741</v>
      </c>
      <c r="C181" s="1" t="n">
        <v>46102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3870-2026</t>
        </is>
      </c>
      <c r="B182" s="1" t="n">
        <v>46043.64090277778</v>
      </c>
      <c r="C182" s="1" t="n">
        <v>46102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3391-2026</t>
        </is>
      </c>
      <c r="B183" s="1" t="n">
        <v>46042</v>
      </c>
      <c r="C183" s="1" t="n">
        <v>46102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30229-2024</t>
        </is>
      </c>
      <c r="B184" s="1" t="n">
        <v>45490.46946759259</v>
      </c>
      <c r="C184" s="1" t="n">
        <v>46102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8749-2026</t>
        </is>
      </c>
      <c r="B185" s="1" t="n">
        <v>46066</v>
      </c>
      <c r="C185" s="1" t="n">
        <v>46102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3997-2026</t>
        </is>
      </c>
      <c r="B186" s="1" t="n">
        <v>46044</v>
      </c>
      <c r="C186" s="1" t="n">
        <v>46102</v>
      </c>
      <c r="D186" t="inlineStr">
        <is>
          <t>GÄVLEBORGS LÄN</t>
        </is>
      </c>
      <c r="E186" t="inlineStr">
        <is>
          <t>HOFORS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2612-2025</t>
        </is>
      </c>
      <c r="B187" s="1" t="n">
        <v>45674</v>
      </c>
      <c r="C187" s="1" t="n">
        <v>46102</v>
      </c>
      <c r="D187" t="inlineStr">
        <is>
          <t>GÄVLEBORGS LÄN</t>
        </is>
      </c>
      <c r="E187" t="inlineStr">
        <is>
          <t>HOFORS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4101-2026</t>
        </is>
      </c>
      <c r="B188" s="1" t="n">
        <v>46044.57539351852</v>
      </c>
      <c r="C188" s="1" t="n">
        <v>46102</v>
      </c>
      <c r="D188" t="inlineStr">
        <is>
          <t>GÄVLEBORGS LÄN</t>
        </is>
      </c>
      <c r="E188" t="inlineStr">
        <is>
          <t>HOFORS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4104-2026</t>
        </is>
      </c>
      <c r="B189" s="1" t="n">
        <v>46044.58568287037</v>
      </c>
      <c r="C189" s="1" t="n">
        <v>46102</v>
      </c>
      <c r="D189" t="inlineStr">
        <is>
          <t>GÄVLEBORGS LÄN</t>
        </is>
      </c>
      <c r="E189" t="inlineStr">
        <is>
          <t>HOFORS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12042-2026</t>
        </is>
      </c>
      <c r="B190" s="1" t="n">
        <v>46086.33680555555</v>
      </c>
      <c r="C190" s="1" t="n">
        <v>46102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4419-2026</t>
        </is>
      </c>
      <c r="B191" s="1" t="n">
        <v>46045.60791666667</v>
      </c>
      <c r="C191" s="1" t="n">
        <v>46102</v>
      </c>
      <c r="D191" t="inlineStr">
        <is>
          <t>GÄVLEBORGS LÄN</t>
        </is>
      </c>
      <c r="E191" t="inlineStr">
        <is>
          <t>HOFORS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54876-2025</t>
        </is>
      </c>
      <c r="B192" s="1" t="n">
        <v>45967.31611111111</v>
      </c>
      <c r="C192" s="1" t="n">
        <v>46102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54877-2025</t>
        </is>
      </c>
      <c r="B193" s="1" t="n">
        <v>45967.31960648148</v>
      </c>
      <c r="C193" s="1" t="n">
        <v>46102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46102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54827-2025</t>
        </is>
      </c>
      <c r="B195" s="1" t="n">
        <v>45966.66925925926</v>
      </c>
      <c r="C195" s="1" t="n">
        <v>46102</v>
      </c>
      <c r="D195" t="inlineStr">
        <is>
          <t>GÄVLEBORGS LÄN</t>
        </is>
      </c>
      <c r="E195" t="inlineStr">
        <is>
          <t>HOFORS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23376-2024</t>
        </is>
      </c>
      <c r="B196" s="1" t="n">
        <v>45453</v>
      </c>
      <c r="C196" s="1" t="n">
        <v>46102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55288-2025</t>
        </is>
      </c>
      <c r="B197" s="1" t="n">
        <v>45969.33444444444</v>
      </c>
      <c r="C197" s="1" t="n">
        <v>46102</v>
      </c>
      <c r="D197" t="inlineStr">
        <is>
          <t>GÄVLEBORGS LÄN</t>
        </is>
      </c>
      <c r="E197" t="inlineStr">
        <is>
          <t>HOFORS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12705-2026</t>
        </is>
      </c>
      <c r="B198" s="1" t="n">
        <v>46091.58282407407</v>
      </c>
      <c r="C198" s="1" t="n">
        <v>46102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58955-2023</t>
        </is>
      </c>
      <c r="B199" s="1" t="n">
        <v>45252</v>
      </c>
      <c r="C199" s="1" t="n">
        <v>46102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5177-2026</t>
        </is>
      </c>
      <c r="B200" s="1" t="n">
        <v>46049</v>
      </c>
      <c r="C200" s="1" t="n">
        <v>46102</v>
      </c>
      <c r="D200" t="inlineStr">
        <is>
          <t>GÄVLEBORGS LÄN</t>
        </is>
      </c>
      <c r="E200" t="inlineStr">
        <is>
          <t>HOFORS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55287-2025</t>
        </is>
      </c>
      <c r="B201" s="1" t="n">
        <v>45969.30730324074</v>
      </c>
      <c r="C201" s="1" t="n">
        <v>46102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4566-2026</t>
        </is>
      </c>
      <c r="B202" s="1" t="n">
        <v>46047.87172453704</v>
      </c>
      <c r="C202" s="1" t="n">
        <v>46102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6963-2024</t>
        </is>
      </c>
      <c r="B203" s="1" t="n">
        <v>45343.4562037037</v>
      </c>
      <c r="C203" s="1" t="n">
        <v>46102</v>
      </c>
      <c r="D203" t="inlineStr">
        <is>
          <t>GÄVLEBORGS LÄN</t>
        </is>
      </c>
      <c r="E203" t="inlineStr">
        <is>
          <t>HOFORS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4541-2026</t>
        </is>
      </c>
      <c r="B204" s="1" t="n">
        <v>46046.94703703704</v>
      </c>
      <c r="C204" s="1" t="n">
        <v>46102</v>
      </c>
      <c r="D204" t="inlineStr">
        <is>
          <t>GÄVLEBORGS LÄN</t>
        </is>
      </c>
      <c r="E204" t="inlineStr">
        <is>
          <t>HOFORS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5249-2026</t>
        </is>
      </c>
      <c r="B205" s="1" t="n">
        <v>46049.90417824074</v>
      </c>
      <c r="C205" s="1" t="n">
        <v>46102</v>
      </c>
      <c r="D205" t="inlineStr">
        <is>
          <t>GÄVLEBORGS LÄN</t>
        </is>
      </c>
      <c r="E205" t="inlineStr">
        <is>
          <t>HOFORS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11284-2026</t>
        </is>
      </c>
      <c r="B206" s="1" t="n">
        <v>46080</v>
      </c>
      <c r="C206" s="1" t="n">
        <v>46102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5549-2026</t>
        </is>
      </c>
      <c r="B207" s="1" t="n">
        <v>46050.71560185185</v>
      </c>
      <c r="C207" s="1" t="n">
        <v>46102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11277-2026</t>
        </is>
      </c>
      <c r="B208" s="1" t="n">
        <v>46080</v>
      </c>
      <c r="C208" s="1" t="n">
        <v>46102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12924-2026</t>
        </is>
      </c>
      <c r="B209" s="1" t="n">
        <v>46092.60739583334</v>
      </c>
      <c r="C209" s="1" t="n">
        <v>46102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HYPERLINK("https://klasma.github.io/Logging_2104/knärot/A 12924-2026 karta knärot.png", "A 12924-2026")</f>
        <v/>
      </c>
      <c r="V209">
        <f>HYPERLINK("https://klasma.github.io/Logging_2104/klagomål/A 12924-2026 FSC-klagomål.docx", "A 12924-2026")</f>
        <v/>
      </c>
      <c r="W209">
        <f>HYPERLINK("https://klasma.github.io/Logging_2104/klagomålsmail/A 12924-2026 FSC-klagomål mail.docx", "A 12924-2026")</f>
        <v/>
      </c>
      <c r="X209">
        <f>HYPERLINK("https://klasma.github.io/Logging_2104/tillsyn/A 12924-2026 tillsynsbegäran.docx", "A 12924-2026")</f>
        <v/>
      </c>
      <c r="Y209">
        <f>HYPERLINK("https://klasma.github.io/Logging_2104/tillsynsmail/A 12924-2026 tillsynsbegäran mail.docx", "A 12924-2026")</f>
        <v/>
      </c>
    </row>
    <row r="210" ht="15" customHeight="1">
      <c r="A210" t="inlineStr">
        <is>
          <t>A 12803-2026</t>
        </is>
      </c>
      <c r="B210" s="1" t="n">
        <v>46092.37685185186</v>
      </c>
      <c r="C210" s="1" t="n">
        <v>46102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11279-2026</t>
        </is>
      </c>
      <c r="B211" s="1" t="n">
        <v>46080</v>
      </c>
      <c r="C211" s="1" t="n">
        <v>46102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11283-2026</t>
        </is>
      </c>
      <c r="B212" s="1" t="n">
        <v>46080</v>
      </c>
      <c r="C212" s="1" t="n">
        <v>46102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12922-2026</t>
        </is>
      </c>
      <c r="B213" s="1" t="n">
        <v>46092.60274305556</v>
      </c>
      <c r="C213" s="1" t="n">
        <v>46102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10587-2022</t>
        </is>
      </c>
      <c r="B214" s="1" t="n">
        <v>44624</v>
      </c>
      <c r="C214" s="1" t="n">
        <v>46102</v>
      </c>
      <c r="D214" t="inlineStr">
        <is>
          <t>GÄVLEBORGS LÄN</t>
        </is>
      </c>
      <c r="E214" t="inlineStr">
        <is>
          <t>HOFORS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5482-2026</t>
        </is>
      </c>
      <c r="B215" s="1" t="n">
        <v>46050.60585648148</v>
      </c>
      <c r="C215" s="1" t="n">
        <v>46102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31123-2021</t>
        </is>
      </c>
      <c r="B216" s="1" t="n">
        <v>44368</v>
      </c>
      <c r="C216" s="1" t="n">
        <v>46102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36763-2024</t>
        </is>
      </c>
      <c r="B217" s="1" t="n">
        <v>45538.36181712963</v>
      </c>
      <c r="C217" s="1" t="n">
        <v>46102</v>
      </c>
      <c r="D217" t="inlineStr">
        <is>
          <t>GÄVLEBORGS LÄN</t>
        </is>
      </c>
      <c r="E217" t="inlineStr">
        <is>
          <t>HOFORS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11847-2026</t>
        </is>
      </c>
      <c r="B218" s="1" t="n">
        <v>46085.45813657407</v>
      </c>
      <c r="C218" s="1" t="n">
        <v>46102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26753-2025</t>
        </is>
      </c>
      <c r="B219" s="1" t="n">
        <v>45810.55490740741</v>
      </c>
      <c r="C219" s="1" t="n">
        <v>46102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21027-2024</t>
        </is>
      </c>
      <c r="B220" s="1" t="n">
        <v>45439</v>
      </c>
      <c r="C220" s="1" t="n">
        <v>46102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21028-2024</t>
        </is>
      </c>
      <c r="B221" s="1" t="n">
        <v>45439</v>
      </c>
      <c r="C221" s="1" t="n">
        <v>46102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5872-2026</t>
        </is>
      </c>
      <c r="B222" s="1" t="n">
        <v>46052</v>
      </c>
      <c r="C222" s="1" t="n">
        <v>46102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8751-2026</t>
        </is>
      </c>
      <c r="B223" s="1" t="n">
        <v>46066</v>
      </c>
      <c r="C223" s="1" t="n">
        <v>46102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16371-2022</t>
        </is>
      </c>
      <c r="B224" s="1" t="n">
        <v>44671</v>
      </c>
      <c r="C224" s="1" t="n">
        <v>46102</v>
      </c>
      <c r="D224" t="inlineStr">
        <is>
          <t>GÄVLEBORGS LÄN</t>
        </is>
      </c>
      <c r="E224" t="inlineStr">
        <is>
          <t>HOFORS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27431-2025</t>
        </is>
      </c>
      <c r="B225" s="1" t="n">
        <v>45813</v>
      </c>
      <c r="C225" s="1" t="n">
        <v>46102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27436-2025</t>
        </is>
      </c>
      <c r="B226" s="1" t="n">
        <v>45813</v>
      </c>
      <c r="C226" s="1" t="n">
        <v>46102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57751-2024</t>
        </is>
      </c>
      <c r="B227" s="1" t="n">
        <v>45630.82424768519</v>
      </c>
      <c r="C227" s="1" t="n">
        <v>46102</v>
      </c>
      <c r="D227" t="inlineStr">
        <is>
          <t>GÄVLEBORGS LÄN</t>
        </is>
      </c>
      <c r="E227" t="inlineStr">
        <is>
          <t>HOFORS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27438-2025</t>
        </is>
      </c>
      <c r="B228" s="1" t="n">
        <v>45813.3143287037</v>
      </c>
      <c r="C228" s="1" t="n">
        <v>46102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27432-2025</t>
        </is>
      </c>
      <c r="B229" s="1" t="n">
        <v>45813</v>
      </c>
      <c r="C229" s="1" t="n">
        <v>46102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27441-2025</t>
        </is>
      </c>
      <c r="B230" s="1" t="n">
        <v>45813.31630787037</v>
      </c>
      <c r="C230" s="1" t="n">
        <v>46102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7209-2026</t>
        </is>
      </c>
      <c r="B231" s="1" t="n">
        <v>46058.53673611111</v>
      </c>
      <c r="C231" s="1" t="n">
        <v>46102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7207-2026</t>
        </is>
      </c>
      <c r="B232" s="1" t="n">
        <v>46058.53497685185</v>
      </c>
      <c r="C232" s="1" t="n">
        <v>46102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14551-2026</t>
        </is>
      </c>
      <c r="B233" s="1" t="n">
        <v>46100</v>
      </c>
      <c r="C233" s="1" t="n">
        <v>46102</v>
      </c>
      <c r="D233" t="inlineStr">
        <is>
          <t>GÄVLEBORGS LÄN</t>
        </is>
      </c>
      <c r="E233" t="inlineStr">
        <is>
          <t>HOFORS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7210-2026</t>
        </is>
      </c>
      <c r="B234" s="1" t="n">
        <v>46058.53807870371</v>
      </c>
      <c r="C234" s="1" t="n">
        <v>46102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2915-2025</t>
        </is>
      </c>
      <c r="B235" s="1" t="n">
        <v>45677.96424768519</v>
      </c>
      <c r="C235" s="1" t="n">
        <v>46102</v>
      </c>
      <c r="D235" t="inlineStr">
        <is>
          <t>GÄVLEBORGS LÄN</t>
        </is>
      </c>
      <c r="E235" t="inlineStr">
        <is>
          <t>HOFORS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32980-2023</t>
        </is>
      </c>
      <c r="B236" s="1" t="n">
        <v>45125.59980324074</v>
      </c>
      <c r="C236" s="1" t="n">
        <v>46102</v>
      </c>
      <c r="D236" t="inlineStr">
        <is>
          <t>GÄVLEBORGS LÄN</t>
        </is>
      </c>
      <c r="E236" t="inlineStr">
        <is>
          <t>HOFORS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57400-2024</t>
        </is>
      </c>
      <c r="B237" s="1" t="n">
        <v>45629.71085648148</v>
      </c>
      <c r="C237" s="1" t="n">
        <v>46102</v>
      </c>
      <c r="D237" t="inlineStr">
        <is>
          <t>GÄVLEBORGS LÄN</t>
        </is>
      </c>
      <c r="E237" t="inlineStr">
        <is>
          <t>HOFORS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23545-2025</t>
        </is>
      </c>
      <c r="B238" s="1" t="n">
        <v>45792</v>
      </c>
      <c r="C238" s="1" t="n">
        <v>46102</v>
      </c>
      <c r="D238" t="inlineStr">
        <is>
          <t>GÄVLEBORGS LÄN</t>
        </is>
      </c>
      <c r="E238" t="inlineStr">
        <is>
          <t>HOFORS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62596-2023</t>
        </is>
      </c>
      <c r="B239" s="1" t="n">
        <v>45271</v>
      </c>
      <c r="C239" s="1" t="n">
        <v>46102</v>
      </c>
      <c r="D239" t="inlineStr">
        <is>
          <t>GÄVLEBORGS LÄN</t>
        </is>
      </c>
      <c r="E239" t="inlineStr">
        <is>
          <t>HOFORS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25474-2024</t>
        </is>
      </c>
      <c r="B240" s="1" t="n">
        <v>45463.44631944445</v>
      </c>
      <c r="C240" s="1" t="n">
        <v>46102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8448-2025</t>
        </is>
      </c>
      <c r="B241" s="1" t="n">
        <v>45709</v>
      </c>
      <c r="C241" s="1" t="n">
        <v>46102</v>
      </c>
      <c r="D241" t="inlineStr">
        <is>
          <t>GÄVLEBORGS LÄN</t>
        </is>
      </c>
      <c r="E241" t="inlineStr">
        <is>
          <t>HOFORS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47493-2024</t>
        </is>
      </c>
      <c r="B242" s="1" t="n">
        <v>45587.59410879629</v>
      </c>
      <c r="C242" s="1" t="n">
        <v>46102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46102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10161-2023</t>
        </is>
      </c>
      <c r="B244" s="1" t="n">
        <v>44986</v>
      </c>
      <c r="C244" s="1" t="n">
        <v>46102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31471-2025</t>
        </is>
      </c>
      <c r="B245" s="1" t="n">
        <v>45833.56436342592</v>
      </c>
      <c r="C245" s="1" t="n">
        <v>46102</v>
      </c>
      <c r="D245" t="inlineStr">
        <is>
          <t>GÄVLEBORGS LÄN</t>
        </is>
      </c>
      <c r="E245" t="inlineStr">
        <is>
          <t>HOFORS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32299-2025</t>
        </is>
      </c>
      <c r="B246" s="1" t="n">
        <v>45835</v>
      </c>
      <c r="C246" s="1" t="n">
        <v>46102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väst AB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34232-2023</t>
        </is>
      </c>
      <c r="B247" s="1" t="n">
        <v>45127</v>
      </c>
      <c r="C247" s="1" t="n">
        <v>46102</v>
      </c>
      <c r="D247" t="inlineStr">
        <is>
          <t>GÄVLEBORGS LÄN</t>
        </is>
      </c>
      <c r="E247" t="inlineStr">
        <is>
          <t>HOFORS</t>
        </is>
      </c>
      <c r="F247" t="inlineStr">
        <is>
          <t>Bergvik skog väst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22226-2024</t>
        </is>
      </c>
      <c r="B248" s="1" t="n">
        <v>45446.4203587963</v>
      </c>
      <c r="C248" s="1" t="n">
        <v>46102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35473-2025</t>
        </is>
      </c>
      <c r="B249" s="1" t="n">
        <v>45855.66804398148</v>
      </c>
      <c r="C249" s="1" t="n">
        <v>46102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35475-2025</t>
        </is>
      </c>
      <c r="B250" s="1" t="n">
        <v>45855.67001157408</v>
      </c>
      <c r="C250" s="1" t="n">
        <v>46102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46102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36180-2025</t>
        </is>
      </c>
      <c r="B252" s="1" t="n">
        <v>45867.41327546296</v>
      </c>
      <c r="C252" s="1" t="n">
        <v>46102</v>
      </c>
      <c r="D252" t="inlineStr">
        <is>
          <t>GÄVLEBORGS LÄN</t>
        </is>
      </c>
      <c r="E252" t="inlineStr">
        <is>
          <t>HOFORS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36349-2025</t>
        </is>
      </c>
      <c r="B253" s="1" t="n">
        <v>45868.48269675926</v>
      </c>
      <c r="C253" s="1" t="n">
        <v>46102</v>
      </c>
      <c r="D253" t="inlineStr">
        <is>
          <t>GÄVLEBORGS LÄN</t>
        </is>
      </c>
      <c r="E253" t="inlineStr">
        <is>
          <t>HOFORS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48063-2024</t>
        </is>
      </c>
      <c r="B254" s="1" t="n">
        <v>45589.55237268518</v>
      </c>
      <c r="C254" s="1" t="n">
        <v>46102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37444-2025</t>
        </is>
      </c>
      <c r="B255" s="1" t="n">
        <v>45877.54305555556</v>
      </c>
      <c r="C255" s="1" t="n">
        <v>46102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17762-2022</t>
        </is>
      </c>
      <c r="B256" s="1" t="n">
        <v>44680</v>
      </c>
      <c r="C256" s="1" t="n">
        <v>46102</v>
      </c>
      <c r="D256" t="inlineStr">
        <is>
          <t>GÄVLEBORGS LÄN</t>
        </is>
      </c>
      <c r="E256" t="inlineStr">
        <is>
          <t>HOFORS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37988-2025</t>
        </is>
      </c>
      <c r="B257" s="1" t="n">
        <v>45881.70454861111</v>
      </c>
      <c r="C257" s="1" t="n">
        <v>46102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51277-2022</t>
        </is>
      </c>
      <c r="B258" s="1" t="n">
        <v>44868.7127662037</v>
      </c>
      <c r="C258" s="1" t="n">
        <v>46102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13745-2023</t>
        </is>
      </c>
      <c r="B259" s="1" t="n">
        <v>45007</v>
      </c>
      <c r="C259" s="1" t="n">
        <v>46102</v>
      </c>
      <c r="D259" t="inlineStr">
        <is>
          <t>GÄVLEBORGS LÄN</t>
        </is>
      </c>
      <c r="E259" t="inlineStr">
        <is>
          <t>HOFORS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14119-2025</t>
        </is>
      </c>
      <c r="B260" s="1" t="n">
        <v>45740.4659837963</v>
      </c>
      <c r="C260" s="1" t="n">
        <v>46102</v>
      </c>
      <c r="D260" t="inlineStr">
        <is>
          <t>GÄVLEBORGS LÄN</t>
        </is>
      </c>
      <c r="E260" t="inlineStr">
        <is>
          <t>HOFORS</t>
        </is>
      </c>
      <c r="F260" t="inlineStr">
        <is>
          <t>Bergvik skog öst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25465-2024</t>
        </is>
      </c>
      <c r="B261" s="1" t="n">
        <v>45463.43416666667</v>
      </c>
      <c r="C261" s="1" t="n">
        <v>46102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35114-2023</t>
        </is>
      </c>
      <c r="B262" s="1" t="n">
        <v>45145</v>
      </c>
      <c r="C262" s="1" t="n">
        <v>46102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35136-2023</t>
        </is>
      </c>
      <c r="B263" s="1" t="n">
        <v>45145.52915509259</v>
      </c>
      <c r="C263" s="1" t="n">
        <v>46102</v>
      </c>
      <c r="D263" t="inlineStr">
        <is>
          <t>GÄVLEBORGS LÄN</t>
        </is>
      </c>
      <c r="E263" t="inlineStr">
        <is>
          <t>HOFORS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38251-2022</t>
        </is>
      </c>
      <c r="B264" s="1" t="n">
        <v>44812.4874537037</v>
      </c>
      <c r="C264" s="1" t="n">
        <v>46102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31607-2023</t>
        </is>
      </c>
      <c r="B265" s="1" t="n">
        <v>45117</v>
      </c>
      <c r="C265" s="1" t="n">
        <v>46102</v>
      </c>
      <c r="D265" t="inlineStr">
        <is>
          <t>GÄVLEBORGS LÄN</t>
        </is>
      </c>
      <c r="E265" t="inlineStr">
        <is>
          <t>HOFORS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31611-2023</t>
        </is>
      </c>
      <c r="B266" s="1" t="n">
        <v>45117</v>
      </c>
      <c r="C266" s="1" t="n">
        <v>46102</v>
      </c>
      <c r="D266" t="inlineStr">
        <is>
          <t>GÄVLEBORGS LÄN</t>
        </is>
      </c>
      <c r="E266" t="inlineStr">
        <is>
          <t>HOFORS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36278-2024</t>
        </is>
      </c>
      <c r="B267" s="1" t="n">
        <v>45534.58508101852</v>
      </c>
      <c r="C267" s="1" t="n">
        <v>46102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46102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46102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46102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46102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46102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46102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46102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13473-2024</t>
        </is>
      </c>
      <c r="B275" s="1" t="n">
        <v>45387.5827662037</v>
      </c>
      <c r="C275" s="1" t="n">
        <v>46102</v>
      </c>
      <c r="D275" t="inlineStr">
        <is>
          <t>GÄVLEBORGS LÄN</t>
        </is>
      </c>
      <c r="E275" t="inlineStr">
        <is>
          <t>HOFORS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28133-2024</t>
        </is>
      </c>
      <c r="B276" s="1" t="n">
        <v>45476.69053240741</v>
      </c>
      <c r="C276" s="1" t="n">
        <v>46102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37744-2022</t>
        </is>
      </c>
      <c r="B277" s="1" t="n">
        <v>44810.58422453704</v>
      </c>
      <c r="C277" s="1" t="n">
        <v>46102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10184-2022</t>
        </is>
      </c>
      <c r="B278" s="1" t="n">
        <v>44622</v>
      </c>
      <c r="C278" s="1" t="n">
        <v>46102</v>
      </c>
      <c r="D278" t="inlineStr">
        <is>
          <t>GÄVLEBORGS LÄN</t>
        </is>
      </c>
      <c r="E278" t="inlineStr">
        <is>
          <t>HOFORS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10602-2022</t>
        </is>
      </c>
      <c r="B279" s="1" t="n">
        <v>44624</v>
      </c>
      <c r="C279" s="1" t="n">
        <v>46102</v>
      </c>
      <c r="D279" t="inlineStr">
        <is>
          <t>GÄVLEBORGS LÄN</t>
        </is>
      </c>
      <c r="E279" t="inlineStr">
        <is>
          <t>HOFORS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47531-2021</t>
        </is>
      </c>
      <c r="B280" s="1" t="n">
        <v>44447</v>
      </c>
      <c r="C280" s="1" t="n">
        <v>46102</v>
      </c>
      <c r="D280" t="inlineStr">
        <is>
          <t>GÄVLEBORGS LÄN</t>
        </is>
      </c>
      <c r="E280" t="inlineStr">
        <is>
          <t>HOFORS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46102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11607-2023</t>
        </is>
      </c>
      <c r="B282" s="1" t="n">
        <v>44994</v>
      </c>
      <c r="C282" s="1" t="n">
        <v>46102</v>
      </c>
      <c r="D282" t="inlineStr">
        <is>
          <t>GÄVLEBORGS LÄN</t>
        </is>
      </c>
      <c r="E282" t="inlineStr">
        <is>
          <t>HOFORS</t>
        </is>
      </c>
      <c r="F282" t="inlineStr">
        <is>
          <t>Övriga statliga verk och myndigheter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43726-2023</t>
        </is>
      </c>
      <c r="B283" s="1" t="n">
        <v>45187</v>
      </c>
      <c r="C283" s="1" t="n">
        <v>46102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35504-2024</t>
        </is>
      </c>
      <c r="B284" s="1" t="n">
        <v>45531.53686342593</v>
      </c>
      <c r="C284" s="1" t="n">
        <v>46102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68079-2021</t>
        </is>
      </c>
      <c r="B285" s="1" t="n">
        <v>44526.31943287037</v>
      </c>
      <c r="C285" s="1" t="n">
        <v>46102</v>
      </c>
      <c r="D285" t="inlineStr">
        <is>
          <t>GÄVLEBORGS LÄN</t>
        </is>
      </c>
      <c r="E285" t="inlineStr">
        <is>
          <t>HOFORS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6958-2024</t>
        </is>
      </c>
      <c r="B286" s="1" t="n">
        <v>45343</v>
      </c>
      <c r="C286" s="1" t="n">
        <v>46102</v>
      </c>
      <c r="D286" t="inlineStr">
        <is>
          <t>GÄVLEBORGS LÄN</t>
        </is>
      </c>
      <c r="E286" t="inlineStr">
        <is>
          <t>HOFORS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54826-2021</t>
        </is>
      </c>
      <c r="B287" s="1" t="n">
        <v>44473</v>
      </c>
      <c r="C287" s="1" t="n">
        <v>46102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33710-2024</t>
        </is>
      </c>
      <c r="B288" s="1" t="n">
        <v>45520</v>
      </c>
      <c r="C288" s="1" t="n">
        <v>46102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17185-2025</t>
        </is>
      </c>
      <c r="B289" s="1" t="n">
        <v>45755</v>
      </c>
      <c r="C289" s="1" t="n">
        <v>46102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47639-2021</t>
        </is>
      </c>
      <c r="B290" s="1" t="n">
        <v>44448.3966087963</v>
      </c>
      <c r="C290" s="1" t="n">
        <v>46102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32827-2024</t>
        </is>
      </c>
      <c r="B291" s="1" t="n">
        <v>45516.59273148148</v>
      </c>
      <c r="C291" s="1" t="n">
        <v>46102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1149-2024</t>
        </is>
      </c>
      <c r="B292" s="1" t="n">
        <v>45302.49834490741</v>
      </c>
      <c r="C292" s="1" t="n">
        <v>46102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18347-2025</t>
        </is>
      </c>
      <c r="B293" s="1" t="n">
        <v>45762.52913194444</v>
      </c>
      <c r="C293" s="1" t="n">
        <v>46102</v>
      </c>
      <c r="D293" t="inlineStr">
        <is>
          <t>GÄVLEBORGS LÄN</t>
        </is>
      </c>
      <c r="E293" t="inlineStr">
        <is>
          <t>HOFORS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31613-2023</t>
        </is>
      </c>
      <c r="B294" s="1" t="n">
        <v>45117</v>
      </c>
      <c r="C294" s="1" t="n">
        <v>46102</v>
      </c>
      <c r="D294" t="inlineStr">
        <is>
          <t>GÄVLEBORGS LÄN</t>
        </is>
      </c>
      <c r="E294" t="inlineStr">
        <is>
          <t>HOFORS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21039-2024</t>
        </is>
      </c>
      <c r="B295" s="1" t="n">
        <v>45439</v>
      </c>
      <c r="C295" s="1" t="n">
        <v>46102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36283-2024</t>
        </is>
      </c>
      <c r="B296" s="1" t="n">
        <v>45534.58899305556</v>
      </c>
      <c r="C296" s="1" t="n">
        <v>46102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20972-2025</t>
        </is>
      </c>
      <c r="B297" s="1" t="n">
        <v>45777.45725694444</v>
      </c>
      <c r="C297" s="1" t="n">
        <v>46102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1144-2024</t>
        </is>
      </c>
      <c r="B298" s="1" t="n">
        <v>45302.49138888889</v>
      </c>
      <c r="C298" s="1" t="n">
        <v>46102</v>
      </c>
      <c r="D298" t="inlineStr">
        <is>
          <t>GÄVLEBORGS LÄN</t>
        </is>
      </c>
      <c r="E298" t="inlineStr">
        <is>
          <t>HOFORS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21340-2025</t>
        </is>
      </c>
      <c r="B299" s="1" t="n">
        <v>45782.38909722222</v>
      </c>
      <c r="C299" s="1" t="n">
        <v>46102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5554-2024</t>
        </is>
      </c>
      <c r="B300" s="1" t="n">
        <v>45334</v>
      </c>
      <c r="C300" s="1" t="n">
        <v>46102</v>
      </c>
      <c r="D300" t="inlineStr">
        <is>
          <t>GÄVLEBORGS LÄN</t>
        </is>
      </c>
      <c r="E300" t="inlineStr">
        <is>
          <t>HOFORS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2026-03-21T11:34:46Z</dcterms:created>
  <dcterms:modified xmlns:dcterms="http://purl.org/dc/terms/" xmlns:xsi="http://www.w3.org/2001/XMLSchema-instance" xsi:type="dcterms:W3CDTF">2026-03-21T11:34:46Z</dcterms:modified>
</cp:coreProperties>
</file>