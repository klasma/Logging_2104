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45639</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45639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45639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45639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45639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45639</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45639</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45639</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45639</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45639</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45639</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45639</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45639</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45639</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45639</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45639</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45639</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45639</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45639</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45639</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45639</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45639</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45639</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45639</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45639</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45639</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45639</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45639</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45639</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45639</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45639</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45639</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45639</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45639</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45639</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45639</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45639</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45639</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45639</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45639</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45639</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45639</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45639</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45639</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45639</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45639</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45639</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45639</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45639</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45639</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45639</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45639</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45639</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45639</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45639</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45639</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45639</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45639</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45639</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45639</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45639</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45639</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45639</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17691-2019</t>
        </is>
      </c>
      <c r="B65" s="1" t="n">
        <v>43556</v>
      </c>
      <c r="C65" s="1" t="n">
        <v>45639</v>
      </c>
      <c r="D65" t="inlineStr">
        <is>
          <t>GÄVLEBORGS LÄN</t>
        </is>
      </c>
      <c r="E65" t="inlineStr">
        <is>
          <t>HOFORS</t>
        </is>
      </c>
      <c r="F65" t="inlineStr">
        <is>
          <t>Kommuner</t>
        </is>
      </c>
      <c r="G65" t="n">
        <v>3.9</v>
      </c>
      <c r="H65" t="n">
        <v>0</v>
      </c>
      <c r="I65" t="n">
        <v>0</v>
      </c>
      <c r="J65" t="n">
        <v>0</v>
      </c>
      <c r="K65" t="n">
        <v>0</v>
      </c>
      <c r="L65" t="n">
        <v>0</v>
      </c>
      <c r="M65" t="n">
        <v>0</v>
      </c>
      <c r="N65" t="n">
        <v>0</v>
      </c>
      <c r="O65" t="n">
        <v>0</v>
      </c>
      <c r="P65" t="n">
        <v>0</v>
      </c>
      <c r="Q65" t="n">
        <v>0</v>
      </c>
      <c r="R65" s="2" t="inlineStr"/>
    </row>
    <row r="66" ht="15" customHeight="1">
      <c r="A66" t="inlineStr">
        <is>
          <t>A 18095-2019</t>
        </is>
      </c>
      <c r="B66" s="1" t="n">
        <v>43558</v>
      </c>
      <c r="C66" s="1" t="n">
        <v>45639</v>
      </c>
      <c r="D66" t="inlineStr">
        <is>
          <t>GÄVLEBORGS LÄN</t>
        </is>
      </c>
      <c r="E66" t="inlineStr">
        <is>
          <t>HOFORS</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18085-2019</t>
        </is>
      </c>
      <c r="B67" s="1" t="n">
        <v>43558</v>
      </c>
      <c r="C67" s="1" t="n">
        <v>45639</v>
      </c>
      <c r="D67" t="inlineStr">
        <is>
          <t>GÄVLEBORGS LÄN</t>
        </is>
      </c>
      <c r="E67" t="inlineStr">
        <is>
          <t>HOFORS</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21734-2019</t>
        </is>
      </c>
      <c r="B68" s="1" t="n">
        <v>43581</v>
      </c>
      <c r="C68" s="1" t="n">
        <v>45639</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c r="U68">
        <f>HYPERLINK("https://klasma.github.io/Logging_2104/knärot/A 21734-2019 karta knärot.png", "A 21734-2019")</f>
        <v/>
      </c>
      <c r="V68">
        <f>HYPERLINK("https://klasma.github.io/Logging_2104/klagomål/A 21734-2019 FSC-klagomål.docx", "A 21734-2019")</f>
        <v/>
      </c>
      <c r="W68">
        <f>HYPERLINK("https://klasma.github.io/Logging_2104/klagomålsmail/A 21734-2019 FSC-klagomål mail.docx", "A 21734-2019")</f>
        <v/>
      </c>
      <c r="X68">
        <f>HYPERLINK("https://klasma.github.io/Logging_2104/tillsyn/A 21734-2019 tillsynsbegäran.docx", "A 21734-2019")</f>
        <v/>
      </c>
      <c r="Y68">
        <f>HYPERLINK("https://klasma.github.io/Logging_2104/tillsynsmail/A 21734-2019 tillsynsbegäran mail.docx", "A 21734-2019")</f>
        <v/>
      </c>
    </row>
    <row r="69" ht="15" customHeight="1">
      <c r="A69" t="inlineStr">
        <is>
          <t>A 22734-2019</t>
        </is>
      </c>
      <c r="B69" s="1" t="n">
        <v>43588</v>
      </c>
      <c r="C69" s="1" t="n">
        <v>45639</v>
      </c>
      <c r="D69" t="inlineStr">
        <is>
          <t>GÄVLEBORGS LÄN</t>
        </is>
      </c>
      <c r="E69" t="inlineStr">
        <is>
          <t>HOFORS</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23881-2019</t>
        </is>
      </c>
      <c r="B70" s="1" t="n">
        <v>43595</v>
      </c>
      <c r="C70" s="1" t="n">
        <v>45639</v>
      </c>
      <c r="D70" t="inlineStr">
        <is>
          <t>GÄVLEBORGS LÄN</t>
        </is>
      </c>
      <c r="E70" t="inlineStr">
        <is>
          <t>HOFORS</t>
        </is>
      </c>
      <c r="G70" t="n">
        <v>3.2</v>
      </c>
      <c r="H70" t="n">
        <v>0</v>
      </c>
      <c r="I70" t="n">
        <v>0</v>
      </c>
      <c r="J70" t="n">
        <v>0</v>
      </c>
      <c r="K70" t="n">
        <v>0</v>
      </c>
      <c r="L70" t="n">
        <v>0</v>
      </c>
      <c r="M70" t="n">
        <v>0</v>
      </c>
      <c r="N70" t="n">
        <v>0</v>
      </c>
      <c r="O70" t="n">
        <v>0</v>
      </c>
      <c r="P70" t="n">
        <v>0</v>
      </c>
      <c r="Q70" t="n">
        <v>0</v>
      </c>
      <c r="R70" s="2" t="inlineStr"/>
    </row>
    <row r="71" ht="15" customHeight="1">
      <c r="A71" t="inlineStr">
        <is>
          <t>A 24756-2019</t>
        </is>
      </c>
      <c r="B71" s="1" t="n">
        <v>43601</v>
      </c>
      <c r="C71" s="1" t="n">
        <v>45639</v>
      </c>
      <c r="D71" t="inlineStr">
        <is>
          <t>GÄVLEBORGS LÄN</t>
        </is>
      </c>
      <c r="E71" t="inlineStr">
        <is>
          <t>HOFORS</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25515-2019</t>
        </is>
      </c>
      <c r="B72" s="1" t="n">
        <v>43606</v>
      </c>
      <c r="C72" s="1" t="n">
        <v>45639</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25517-2019</t>
        </is>
      </c>
      <c r="B73" s="1" t="n">
        <v>43606</v>
      </c>
      <c r="C73" s="1" t="n">
        <v>45639</v>
      </c>
      <c r="D73" t="inlineStr">
        <is>
          <t>GÄVLEBORGS LÄN</t>
        </is>
      </c>
      <c r="E73" t="inlineStr">
        <is>
          <t>HOFORS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30592-2019</t>
        </is>
      </c>
      <c r="B74" s="1" t="n">
        <v>43635</v>
      </c>
      <c r="C74" s="1" t="n">
        <v>45639</v>
      </c>
      <c r="D74" t="inlineStr">
        <is>
          <t>GÄVLEBORGS LÄN</t>
        </is>
      </c>
      <c r="E74" t="inlineStr">
        <is>
          <t>HOFORS</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30591-2019</t>
        </is>
      </c>
      <c r="B75" s="1" t="n">
        <v>43635</v>
      </c>
      <c r="C75" s="1" t="n">
        <v>45639</v>
      </c>
      <c r="D75" t="inlineStr">
        <is>
          <t>GÄVLEBORGS LÄN</t>
        </is>
      </c>
      <c r="E75" t="inlineStr">
        <is>
          <t>HOFORS</t>
        </is>
      </c>
      <c r="F75" t="inlineStr">
        <is>
          <t>Sveaskog</t>
        </is>
      </c>
      <c r="G75" t="n">
        <v>8.5</v>
      </c>
      <c r="H75" t="n">
        <v>0</v>
      </c>
      <c r="I75" t="n">
        <v>0</v>
      </c>
      <c r="J75" t="n">
        <v>0</v>
      </c>
      <c r="K75" t="n">
        <v>0</v>
      </c>
      <c r="L75" t="n">
        <v>0</v>
      </c>
      <c r="M75" t="n">
        <v>0</v>
      </c>
      <c r="N75" t="n">
        <v>0</v>
      </c>
      <c r="O75" t="n">
        <v>0</v>
      </c>
      <c r="P75" t="n">
        <v>0</v>
      </c>
      <c r="Q75" t="n">
        <v>0</v>
      </c>
      <c r="R75" s="2" t="inlineStr"/>
    </row>
    <row r="76" ht="15" customHeight="1">
      <c r="A76" t="inlineStr">
        <is>
          <t>A 40385-2019</t>
        </is>
      </c>
      <c r="B76" s="1" t="n">
        <v>43696</v>
      </c>
      <c r="C76" s="1" t="n">
        <v>45639</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c r="U76">
        <f>HYPERLINK("https://klasma.github.io/Logging_2104/knärot/A 40385-2019 karta knärot.png", "A 40385-2019")</f>
        <v/>
      </c>
      <c r="V76">
        <f>HYPERLINK("https://klasma.github.io/Logging_2104/klagomål/A 40385-2019 FSC-klagomål.docx", "A 40385-2019")</f>
        <v/>
      </c>
      <c r="W76">
        <f>HYPERLINK("https://klasma.github.io/Logging_2104/klagomålsmail/A 40385-2019 FSC-klagomål mail.docx", "A 40385-2019")</f>
        <v/>
      </c>
      <c r="X76">
        <f>HYPERLINK("https://klasma.github.io/Logging_2104/tillsyn/A 40385-2019 tillsynsbegäran.docx", "A 40385-2019")</f>
        <v/>
      </c>
      <c r="Y76">
        <f>HYPERLINK("https://klasma.github.io/Logging_2104/tillsynsmail/A 40385-2019 tillsynsbegäran mail.docx", "A 40385-2019")</f>
        <v/>
      </c>
    </row>
    <row r="77" ht="15" customHeight="1">
      <c r="A77" t="inlineStr">
        <is>
          <t>A 42253-2019</t>
        </is>
      </c>
      <c r="B77" s="1" t="n">
        <v>43703</v>
      </c>
      <c r="C77" s="1" t="n">
        <v>45639</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44791-2019</t>
        </is>
      </c>
      <c r="B78" s="1" t="n">
        <v>43707</v>
      </c>
      <c r="C78" s="1" t="n">
        <v>45639</v>
      </c>
      <c r="D78" t="inlineStr">
        <is>
          <t>GÄVLEBORGS LÄN</t>
        </is>
      </c>
      <c r="E78" t="inlineStr">
        <is>
          <t>HOFORS</t>
        </is>
      </c>
      <c r="G78" t="n">
        <v>14.7</v>
      </c>
      <c r="H78" t="n">
        <v>0</v>
      </c>
      <c r="I78" t="n">
        <v>0</v>
      </c>
      <c r="J78" t="n">
        <v>0</v>
      </c>
      <c r="K78" t="n">
        <v>0</v>
      </c>
      <c r="L78" t="n">
        <v>0</v>
      </c>
      <c r="M78" t="n">
        <v>0</v>
      </c>
      <c r="N78" t="n">
        <v>0</v>
      </c>
      <c r="O78" t="n">
        <v>0</v>
      </c>
      <c r="P78" t="n">
        <v>0</v>
      </c>
      <c r="Q78" t="n">
        <v>0</v>
      </c>
      <c r="R78" s="2" t="inlineStr"/>
    </row>
    <row r="79" ht="15" customHeight="1">
      <c r="A79" t="inlineStr">
        <is>
          <t>A 44218-2019</t>
        </is>
      </c>
      <c r="B79" s="1" t="n">
        <v>43710</v>
      </c>
      <c r="C79" s="1" t="n">
        <v>45639</v>
      </c>
      <c r="D79" t="inlineStr">
        <is>
          <t>GÄVLEBORGS LÄN</t>
        </is>
      </c>
      <c r="E79" t="inlineStr">
        <is>
          <t>HOFORS</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44196-2019</t>
        </is>
      </c>
      <c r="B80" s="1" t="n">
        <v>43710</v>
      </c>
      <c r="C80" s="1" t="n">
        <v>45639</v>
      </c>
      <c r="D80" t="inlineStr">
        <is>
          <t>GÄVLEBORGS LÄN</t>
        </is>
      </c>
      <c r="E80" t="inlineStr">
        <is>
          <t>HOFORS</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46153-2019</t>
        </is>
      </c>
      <c r="B81" s="1" t="n">
        <v>43718</v>
      </c>
      <c r="C81" s="1" t="n">
        <v>45639</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46161-2019</t>
        </is>
      </c>
      <c r="B82" s="1" t="n">
        <v>43718</v>
      </c>
      <c r="C82" s="1" t="n">
        <v>45639</v>
      </c>
      <c r="D82" t="inlineStr">
        <is>
          <t>GÄVLEBORGS LÄN</t>
        </is>
      </c>
      <c r="E82" t="inlineStr">
        <is>
          <t>HOFORS</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49361-2019</t>
        </is>
      </c>
      <c r="B83" s="1" t="n">
        <v>43731</v>
      </c>
      <c r="C83" s="1" t="n">
        <v>45639</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49296-2019</t>
        </is>
      </c>
      <c r="B84" s="1" t="n">
        <v>43731</v>
      </c>
      <c r="C84" s="1" t="n">
        <v>45639</v>
      </c>
      <c r="D84" t="inlineStr">
        <is>
          <t>GÄVLEBORGS LÄN</t>
        </is>
      </c>
      <c r="E84" t="inlineStr">
        <is>
          <t>HOFORS</t>
        </is>
      </c>
      <c r="F84" t="inlineStr">
        <is>
          <t>Sveaskog</t>
        </is>
      </c>
      <c r="G84" t="n">
        <v>3.1</v>
      </c>
      <c r="H84" t="n">
        <v>0</v>
      </c>
      <c r="I84" t="n">
        <v>0</v>
      </c>
      <c r="J84" t="n">
        <v>0</v>
      </c>
      <c r="K84" t="n">
        <v>0</v>
      </c>
      <c r="L84" t="n">
        <v>0</v>
      </c>
      <c r="M84" t="n">
        <v>0</v>
      </c>
      <c r="N84" t="n">
        <v>0</v>
      </c>
      <c r="O84" t="n">
        <v>0</v>
      </c>
      <c r="P84" t="n">
        <v>0</v>
      </c>
      <c r="Q84" t="n">
        <v>0</v>
      </c>
      <c r="R84" s="2" t="inlineStr"/>
    </row>
    <row r="85" ht="15" customHeight="1">
      <c r="A85" t="inlineStr">
        <is>
          <t>A 50696-2019</t>
        </is>
      </c>
      <c r="B85" s="1" t="n">
        <v>43738</v>
      </c>
      <c r="C85" s="1" t="n">
        <v>45639</v>
      </c>
      <c r="D85" t="inlineStr">
        <is>
          <t>GÄVLEBORGS LÄN</t>
        </is>
      </c>
      <c r="E85" t="inlineStr">
        <is>
          <t>HOFORS</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50694-2019</t>
        </is>
      </c>
      <c r="B86" s="1" t="n">
        <v>43738</v>
      </c>
      <c r="C86" s="1" t="n">
        <v>45639</v>
      </c>
      <c r="D86" t="inlineStr">
        <is>
          <t>GÄVLEBORGS LÄN</t>
        </is>
      </c>
      <c r="E86" t="inlineStr">
        <is>
          <t>HOFORS</t>
        </is>
      </c>
      <c r="G86" t="n">
        <v>0.6</v>
      </c>
      <c r="H86" t="n">
        <v>0</v>
      </c>
      <c r="I86" t="n">
        <v>0</v>
      </c>
      <c r="J86" t="n">
        <v>0</v>
      </c>
      <c r="K86" t="n">
        <v>0</v>
      </c>
      <c r="L86" t="n">
        <v>0</v>
      </c>
      <c r="M86" t="n">
        <v>0</v>
      </c>
      <c r="N86" t="n">
        <v>0</v>
      </c>
      <c r="O86" t="n">
        <v>0</v>
      </c>
      <c r="P86" t="n">
        <v>0</v>
      </c>
      <c r="Q86" t="n">
        <v>0</v>
      </c>
      <c r="R86" s="2" t="inlineStr"/>
    </row>
    <row r="87" ht="15" customHeight="1">
      <c r="A87" t="inlineStr">
        <is>
          <t>A 51927-2019</t>
        </is>
      </c>
      <c r="B87" s="1" t="n">
        <v>43741</v>
      </c>
      <c r="C87" s="1" t="n">
        <v>45639</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53312-2019</t>
        </is>
      </c>
      <c r="B88" s="1" t="n">
        <v>43748</v>
      </c>
      <c r="C88" s="1" t="n">
        <v>45639</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53850-2019</t>
        </is>
      </c>
      <c r="B89" s="1" t="n">
        <v>43752</v>
      </c>
      <c r="C89" s="1" t="n">
        <v>45639</v>
      </c>
      <c r="D89" t="inlineStr">
        <is>
          <t>GÄVLEBORGS LÄN</t>
        </is>
      </c>
      <c r="E89" t="inlineStr">
        <is>
          <t>HOFORS</t>
        </is>
      </c>
      <c r="F89" t="inlineStr">
        <is>
          <t>Sveaskog</t>
        </is>
      </c>
      <c r="G89" t="n">
        <v>6.1</v>
      </c>
      <c r="H89" t="n">
        <v>0</v>
      </c>
      <c r="I89" t="n">
        <v>0</v>
      </c>
      <c r="J89" t="n">
        <v>0</v>
      </c>
      <c r="K89" t="n">
        <v>0</v>
      </c>
      <c r="L89" t="n">
        <v>0</v>
      </c>
      <c r="M89" t="n">
        <v>0</v>
      </c>
      <c r="N89" t="n">
        <v>0</v>
      </c>
      <c r="O89" t="n">
        <v>0</v>
      </c>
      <c r="P89" t="n">
        <v>0</v>
      </c>
      <c r="Q89" t="n">
        <v>0</v>
      </c>
      <c r="R89" s="2" t="inlineStr"/>
    </row>
    <row r="90" ht="15" customHeight="1">
      <c r="A90" t="inlineStr">
        <is>
          <t>A 53908-2019</t>
        </is>
      </c>
      <c r="B90" s="1" t="n">
        <v>43752</v>
      </c>
      <c r="C90" s="1" t="n">
        <v>45639</v>
      </c>
      <c r="D90" t="inlineStr">
        <is>
          <t>GÄVLEBORGS LÄN</t>
        </is>
      </c>
      <c r="E90" t="inlineStr">
        <is>
          <t>HOFORS</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53975-2019</t>
        </is>
      </c>
      <c r="B91" s="1" t="n">
        <v>43752</v>
      </c>
      <c r="C91" s="1" t="n">
        <v>45639</v>
      </c>
      <c r="D91" t="inlineStr">
        <is>
          <t>GÄVLEBORGS LÄN</t>
        </is>
      </c>
      <c r="E91" t="inlineStr">
        <is>
          <t>HOFORS</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53930-2019</t>
        </is>
      </c>
      <c r="B92" s="1" t="n">
        <v>43752</v>
      </c>
      <c r="C92" s="1" t="n">
        <v>45639</v>
      </c>
      <c r="D92" t="inlineStr">
        <is>
          <t>GÄVLEBORGS LÄN</t>
        </is>
      </c>
      <c r="E92" t="inlineStr">
        <is>
          <t>HOFORS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54934-2019</t>
        </is>
      </c>
      <c r="B93" s="1" t="n">
        <v>43755</v>
      </c>
      <c r="C93" s="1" t="n">
        <v>45639</v>
      </c>
      <c r="D93" t="inlineStr">
        <is>
          <t>GÄVLEBORGS LÄN</t>
        </is>
      </c>
      <c r="E93" t="inlineStr">
        <is>
          <t>HOFORS</t>
        </is>
      </c>
      <c r="G93" t="n">
        <v>2</v>
      </c>
      <c r="H93" t="n">
        <v>0</v>
      </c>
      <c r="I93" t="n">
        <v>0</v>
      </c>
      <c r="J93" t="n">
        <v>0</v>
      </c>
      <c r="K93" t="n">
        <v>0</v>
      </c>
      <c r="L93" t="n">
        <v>0</v>
      </c>
      <c r="M93" t="n">
        <v>0</v>
      </c>
      <c r="N93" t="n">
        <v>0</v>
      </c>
      <c r="O93" t="n">
        <v>0</v>
      </c>
      <c r="P93" t="n">
        <v>0</v>
      </c>
      <c r="Q93" t="n">
        <v>0</v>
      </c>
      <c r="R93" s="2" t="inlineStr"/>
    </row>
    <row r="94" ht="15" customHeight="1">
      <c r="A94" t="inlineStr">
        <is>
          <t>A 59116-2019</t>
        </is>
      </c>
      <c r="B94" s="1" t="n">
        <v>43775</v>
      </c>
      <c r="C94" s="1" t="n">
        <v>45639</v>
      </c>
      <c r="D94" t="inlineStr">
        <is>
          <t>GÄVLEBORGS LÄN</t>
        </is>
      </c>
      <c r="E94" t="inlineStr">
        <is>
          <t>HOFORS</t>
        </is>
      </c>
      <c r="G94" t="n">
        <v>0.5</v>
      </c>
      <c r="H94" t="n">
        <v>0</v>
      </c>
      <c r="I94" t="n">
        <v>0</v>
      </c>
      <c r="J94" t="n">
        <v>0</v>
      </c>
      <c r="K94" t="n">
        <v>0</v>
      </c>
      <c r="L94" t="n">
        <v>0</v>
      </c>
      <c r="M94" t="n">
        <v>0</v>
      </c>
      <c r="N94" t="n">
        <v>0</v>
      </c>
      <c r="O94" t="n">
        <v>0</v>
      </c>
      <c r="P94" t="n">
        <v>0</v>
      </c>
      <c r="Q94" t="n">
        <v>0</v>
      </c>
      <c r="R94" s="2" t="inlineStr"/>
    </row>
    <row r="95" ht="15" customHeight="1">
      <c r="A95" t="inlineStr">
        <is>
          <t>A 59115-2019</t>
        </is>
      </c>
      <c r="B95" s="1" t="n">
        <v>43775</v>
      </c>
      <c r="C95" s="1" t="n">
        <v>45639</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60049-2019</t>
        </is>
      </c>
      <c r="B96" s="1" t="n">
        <v>43777</v>
      </c>
      <c r="C96" s="1" t="n">
        <v>45639</v>
      </c>
      <c r="D96" t="inlineStr">
        <is>
          <t>GÄVLEBORGS LÄN</t>
        </is>
      </c>
      <c r="E96" t="inlineStr">
        <is>
          <t>HOFORS</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60262-2019</t>
        </is>
      </c>
      <c r="B97" s="1" t="n">
        <v>43780</v>
      </c>
      <c r="C97" s="1" t="n">
        <v>45639</v>
      </c>
      <c r="D97" t="inlineStr">
        <is>
          <t>GÄVLEBORGS LÄN</t>
        </is>
      </c>
      <c r="E97" t="inlineStr">
        <is>
          <t>HOFORS</t>
        </is>
      </c>
      <c r="F97" t="inlineStr">
        <is>
          <t>Sveaskog</t>
        </is>
      </c>
      <c r="G97" t="n">
        <v>5</v>
      </c>
      <c r="H97" t="n">
        <v>0</v>
      </c>
      <c r="I97" t="n">
        <v>0</v>
      </c>
      <c r="J97" t="n">
        <v>0</v>
      </c>
      <c r="K97" t="n">
        <v>0</v>
      </c>
      <c r="L97" t="n">
        <v>0</v>
      </c>
      <c r="M97" t="n">
        <v>0</v>
      </c>
      <c r="N97" t="n">
        <v>0</v>
      </c>
      <c r="O97" t="n">
        <v>0</v>
      </c>
      <c r="P97" t="n">
        <v>0</v>
      </c>
      <c r="Q97" t="n">
        <v>0</v>
      </c>
      <c r="R97" s="2" t="inlineStr"/>
    </row>
    <row r="98" ht="15" customHeight="1">
      <c r="A98" t="inlineStr">
        <is>
          <t>A 60552-2019</t>
        </is>
      </c>
      <c r="B98" s="1" t="n">
        <v>43781</v>
      </c>
      <c r="C98" s="1" t="n">
        <v>45639</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62091-2019</t>
        </is>
      </c>
      <c r="B99" s="1" t="n">
        <v>43782</v>
      </c>
      <c r="C99" s="1" t="n">
        <v>45639</v>
      </c>
      <c r="D99" t="inlineStr">
        <is>
          <t>GÄVLEBORGS LÄN</t>
        </is>
      </c>
      <c r="E99" t="inlineStr">
        <is>
          <t>HOFORS</t>
        </is>
      </c>
      <c r="G99" t="n">
        <v>5</v>
      </c>
      <c r="H99" t="n">
        <v>0</v>
      </c>
      <c r="I99" t="n">
        <v>0</v>
      </c>
      <c r="J99" t="n">
        <v>0</v>
      </c>
      <c r="K99" t="n">
        <v>0</v>
      </c>
      <c r="L99" t="n">
        <v>0</v>
      </c>
      <c r="M99" t="n">
        <v>0</v>
      </c>
      <c r="N99" t="n">
        <v>0</v>
      </c>
      <c r="O99" t="n">
        <v>0</v>
      </c>
      <c r="P99" t="n">
        <v>0</v>
      </c>
      <c r="Q99" t="n">
        <v>0</v>
      </c>
      <c r="R99" s="2" t="inlineStr"/>
    </row>
    <row r="100" ht="15" customHeight="1">
      <c r="A100" t="inlineStr">
        <is>
          <t>A 61168-2019</t>
        </is>
      </c>
      <c r="B100" s="1" t="n">
        <v>43782</v>
      </c>
      <c r="C100" s="1" t="n">
        <v>45639</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63588-2019</t>
        </is>
      </c>
      <c r="B101" s="1" t="n">
        <v>43795</v>
      </c>
      <c r="C101" s="1" t="n">
        <v>45639</v>
      </c>
      <c r="D101" t="inlineStr">
        <is>
          <t>GÄVLEBORGS LÄN</t>
        </is>
      </c>
      <c r="E101" t="inlineStr">
        <is>
          <t>HOFORS</t>
        </is>
      </c>
      <c r="G101" t="n">
        <v>1.5</v>
      </c>
      <c r="H101" t="n">
        <v>0</v>
      </c>
      <c r="I101" t="n">
        <v>0</v>
      </c>
      <c r="J101" t="n">
        <v>0</v>
      </c>
      <c r="K101" t="n">
        <v>0</v>
      </c>
      <c r="L101" t="n">
        <v>0</v>
      </c>
      <c r="M101" t="n">
        <v>0</v>
      </c>
      <c r="N101" t="n">
        <v>0</v>
      </c>
      <c r="O101" t="n">
        <v>0</v>
      </c>
      <c r="P101" t="n">
        <v>0</v>
      </c>
      <c r="Q101" t="n">
        <v>0</v>
      </c>
      <c r="R101" s="2" t="inlineStr"/>
    </row>
    <row r="102" ht="15" customHeight="1">
      <c r="A102" t="inlineStr">
        <is>
          <t>A 63585-2019</t>
        </is>
      </c>
      <c r="B102" s="1" t="n">
        <v>43795</v>
      </c>
      <c r="C102" s="1" t="n">
        <v>45639</v>
      </c>
      <c r="D102" t="inlineStr">
        <is>
          <t>GÄVLEBORGS LÄN</t>
        </is>
      </c>
      <c r="E102" t="inlineStr">
        <is>
          <t>HOFORS</t>
        </is>
      </c>
      <c r="G102" t="n">
        <v>2.2</v>
      </c>
      <c r="H102" t="n">
        <v>0</v>
      </c>
      <c r="I102" t="n">
        <v>0</v>
      </c>
      <c r="J102" t="n">
        <v>0</v>
      </c>
      <c r="K102" t="n">
        <v>0</v>
      </c>
      <c r="L102" t="n">
        <v>0</v>
      </c>
      <c r="M102" t="n">
        <v>0</v>
      </c>
      <c r="N102" t="n">
        <v>0</v>
      </c>
      <c r="O102" t="n">
        <v>0</v>
      </c>
      <c r="P102" t="n">
        <v>0</v>
      </c>
      <c r="Q102" t="n">
        <v>0</v>
      </c>
      <c r="R102" s="2" t="inlineStr"/>
    </row>
    <row r="103" ht="15" customHeight="1">
      <c r="A103" t="inlineStr">
        <is>
          <t>A 6645-2020</t>
        </is>
      </c>
      <c r="B103" s="1" t="n">
        <v>43867</v>
      </c>
      <c r="C103" s="1" t="n">
        <v>45639</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6678-2020</t>
        </is>
      </c>
      <c r="B104" s="1" t="n">
        <v>43867</v>
      </c>
      <c r="C104" s="1" t="n">
        <v>45639</v>
      </c>
      <c r="D104" t="inlineStr">
        <is>
          <t>GÄVLEBORGS LÄN</t>
        </is>
      </c>
      <c r="E104" t="inlineStr">
        <is>
          <t>HOFORS</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11130-2020</t>
        </is>
      </c>
      <c r="B105" s="1" t="n">
        <v>43889</v>
      </c>
      <c r="C105" s="1" t="n">
        <v>45639</v>
      </c>
      <c r="D105" t="inlineStr">
        <is>
          <t>GÄVLEBORGS LÄN</t>
        </is>
      </c>
      <c r="E105" t="inlineStr">
        <is>
          <t>HOFORS</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11131-2020</t>
        </is>
      </c>
      <c r="B106" s="1" t="n">
        <v>43889</v>
      </c>
      <c r="C106" s="1" t="n">
        <v>45639</v>
      </c>
      <c r="D106" t="inlineStr">
        <is>
          <t>GÄVLEBORGS LÄN</t>
        </is>
      </c>
      <c r="E106" t="inlineStr">
        <is>
          <t>HOFORS</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11133-2020</t>
        </is>
      </c>
      <c r="B107" s="1" t="n">
        <v>43889</v>
      </c>
      <c r="C107" s="1" t="n">
        <v>45639</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12406-2020</t>
        </is>
      </c>
      <c r="B108" s="1" t="n">
        <v>43896</v>
      </c>
      <c r="C108" s="1" t="n">
        <v>45639</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28681-2020</t>
        </is>
      </c>
      <c r="B109" s="1" t="n">
        <v>43999</v>
      </c>
      <c r="C109" s="1" t="n">
        <v>45639</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29321-2020</t>
        </is>
      </c>
      <c r="B110" s="1" t="n">
        <v>44000</v>
      </c>
      <c r="C110" s="1" t="n">
        <v>45639</v>
      </c>
      <c r="D110" t="inlineStr">
        <is>
          <t>GÄVLEBORGS LÄN</t>
        </is>
      </c>
      <c r="E110" t="inlineStr">
        <is>
          <t>HOFORS</t>
        </is>
      </c>
      <c r="G110" t="n">
        <v>7.1</v>
      </c>
      <c r="H110" t="n">
        <v>0</v>
      </c>
      <c r="I110" t="n">
        <v>0</v>
      </c>
      <c r="J110" t="n">
        <v>0</v>
      </c>
      <c r="K110" t="n">
        <v>0</v>
      </c>
      <c r="L110" t="n">
        <v>0</v>
      </c>
      <c r="M110" t="n">
        <v>0</v>
      </c>
      <c r="N110" t="n">
        <v>0</v>
      </c>
      <c r="O110" t="n">
        <v>0</v>
      </c>
      <c r="P110" t="n">
        <v>0</v>
      </c>
      <c r="Q110" t="n">
        <v>0</v>
      </c>
      <c r="R110" s="2" t="inlineStr"/>
    </row>
    <row r="111" ht="15" customHeight="1">
      <c r="A111" t="inlineStr">
        <is>
          <t>A 31794-2020</t>
        </is>
      </c>
      <c r="B111" s="1" t="n">
        <v>44014</v>
      </c>
      <c r="C111" s="1" t="n">
        <v>45639</v>
      </c>
      <c r="D111" t="inlineStr">
        <is>
          <t>GÄVLEBORGS LÄN</t>
        </is>
      </c>
      <c r="E111" t="inlineStr">
        <is>
          <t>HOFORS</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32342-2020</t>
        </is>
      </c>
      <c r="B112" s="1" t="n">
        <v>44016</v>
      </c>
      <c r="C112" s="1" t="n">
        <v>45639</v>
      </c>
      <c r="D112" t="inlineStr">
        <is>
          <t>GÄVLEBORGS LÄN</t>
        </is>
      </c>
      <c r="E112" t="inlineStr">
        <is>
          <t>HOFORS</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36111-2020</t>
        </is>
      </c>
      <c r="B113" s="1" t="n">
        <v>44048</v>
      </c>
      <c r="C113" s="1" t="n">
        <v>45639</v>
      </c>
      <c r="D113" t="inlineStr">
        <is>
          <t>GÄVLEBORGS LÄN</t>
        </is>
      </c>
      <c r="E113" t="inlineStr">
        <is>
          <t>HOFORS</t>
        </is>
      </c>
      <c r="G113" t="n">
        <v>1.3</v>
      </c>
      <c r="H113" t="n">
        <v>0</v>
      </c>
      <c r="I113" t="n">
        <v>0</v>
      </c>
      <c r="J113" t="n">
        <v>0</v>
      </c>
      <c r="K113" t="n">
        <v>0</v>
      </c>
      <c r="L113" t="n">
        <v>0</v>
      </c>
      <c r="M113" t="n">
        <v>0</v>
      </c>
      <c r="N113" t="n">
        <v>0</v>
      </c>
      <c r="O113" t="n">
        <v>0</v>
      </c>
      <c r="P113" t="n">
        <v>0</v>
      </c>
      <c r="Q113" t="n">
        <v>0</v>
      </c>
      <c r="R113" s="2" t="inlineStr"/>
    </row>
    <row r="114" ht="15" customHeight="1">
      <c r="A114" t="inlineStr">
        <is>
          <t>A 36467-2020</t>
        </is>
      </c>
      <c r="B114" s="1" t="n">
        <v>44049</v>
      </c>
      <c r="C114" s="1" t="n">
        <v>45639</v>
      </c>
      <c r="D114" t="inlineStr">
        <is>
          <t>GÄVLEBORGS LÄN</t>
        </is>
      </c>
      <c r="E114" t="inlineStr">
        <is>
          <t>HOFORS</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37851-2020</t>
        </is>
      </c>
      <c r="B115" s="1" t="n">
        <v>44057</v>
      </c>
      <c r="C115" s="1" t="n">
        <v>45639</v>
      </c>
      <c r="D115" t="inlineStr">
        <is>
          <t>GÄVLEBORGS LÄN</t>
        </is>
      </c>
      <c r="E115" t="inlineStr">
        <is>
          <t>HOFORS</t>
        </is>
      </c>
      <c r="G115" t="n">
        <v>0.5</v>
      </c>
      <c r="H115" t="n">
        <v>0</v>
      </c>
      <c r="I115" t="n">
        <v>0</v>
      </c>
      <c r="J115" t="n">
        <v>0</v>
      </c>
      <c r="K115" t="n">
        <v>0</v>
      </c>
      <c r="L115" t="n">
        <v>0</v>
      </c>
      <c r="M115" t="n">
        <v>0</v>
      </c>
      <c r="N115" t="n">
        <v>0</v>
      </c>
      <c r="O115" t="n">
        <v>0</v>
      </c>
      <c r="P115" t="n">
        <v>0</v>
      </c>
      <c r="Q115" t="n">
        <v>0</v>
      </c>
      <c r="R115" s="2" t="inlineStr"/>
    </row>
    <row r="116" ht="15" customHeight="1">
      <c r="A116" t="inlineStr">
        <is>
          <t>A 42959-2020</t>
        </is>
      </c>
      <c r="B116" s="1" t="n">
        <v>44078</v>
      </c>
      <c r="C116" s="1" t="n">
        <v>45639</v>
      </c>
      <c r="D116" t="inlineStr">
        <is>
          <t>GÄVLEBORGS LÄN</t>
        </is>
      </c>
      <c r="E116" t="inlineStr">
        <is>
          <t>HOFORS</t>
        </is>
      </c>
      <c r="G116" t="n">
        <v>0.7</v>
      </c>
      <c r="H116" t="n">
        <v>0</v>
      </c>
      <c r="I116" t="n">
        <v>0</v>
      </c>
      <c r="J116" t="n">
        <v>0</v>
      </c>
      <c r="K116" t="n">
        <v>0</v>
      </c>
      <c r="L116" t="n">
        <v>0</v>
      </c>
      <c r="M116" t="n">
        <v>0</v>
      </c>
      <c r="N116" t="n">
        <v>0</v>
      </c>
      <c r="O116" t="n">
        <v>0</v>
      </c>
      <c r="P116" t="n">
        <v>0</v>
      </c>
      <c r="Q116" t="n">
        <v>0</v>
      </c>
      <c r="R116" s="2" t="inlineStr"/>
    </row>
    <row r="117" ht="15" customHeight="1">
      <c r="A117" t="inlineStr">
        <is>
          <t>A 43907-2020</t>
        </is>
      </c>
      <c r="B117" s="1" t="n">
        <v>44083</v>
      </c>
      <c r="C117" s="1" t="n">
        <v>45639</v>
      </c>
      <c r="D117" t="inlineStr">
        <is>
          <t>GÄVLEBORGS LÄN</t>
        </is>
      </c>
      <c r="E117" t="inlineStr">
        <is>
          <t>HOFORS</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44230-2020</t>
        </is>
      </c>
      <c r="B118" s="1" t="n">
        <v>44084</v>
      </c>
      <c r="C118" s="1" t="n">
        <v>45639</v>
      </c>
      <c r="D118" t="inlineStr">
        <is>
          <t>GÄVLEBORGS LÄN</t>
        </is>
      </c>
      <c r="E118" t="inlineStr">
        <is>
          <t>HOFORS</t>
        </is>
      </c>
      <c r="G118" t="n">
        <v>9.4</v>
      </c>
      <c r="H118" t="n">
        <v>0</v>
      </c>
      <c r="I118" t="n">
        <v>0</v>
      </c>
      <c r="J118" t="n">
        <v>0</v>
      </c>
      <c r="K118" t="n">
        <v>0</v>
      </c>
      <c r="L118" t="n">
        <v>0</v>
      </c>
      <c r="M118" t="n">
        <v>0</v>
      </c>
      <c r="N118" t="n">
        <v>0</v>
      </c>
      <c r="O118" t="n">
        <v>0</v>
      </c>
      <c r="P118" t="n">
        <v>0</v>
      </c>
      <c r="Q118" t="n">
        <v>0</v>
      </c>
      <c r="R118" s="2" t="inlineStr"/>
    </row>
    <row r="119" ht="15" customHeight="1">
      <c r="A119" t="inlineStr">
        <is>
          <t>A 46269-2020</t>
        </is>
      </c>
      <c r="B119" s="1" t="n">
        <v>44092</v>
      </c>
      <c r="C119" s="1" t="n">
        <v>45639</v>
      </c>
      <c r="D119" t="inlineStr">
        <is>
          <t>GÄVLEBORGS LÄN</t>
        </is>
      </c>
      <c r="E119" t="inlineStr">
        <is>
          <t>HOFORS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46274-2020</t>
        </is>
      </c>
      <c r="B120" s="1" t="n">
        <v>44092</v>
      </c>
      <c r="C120" s="1" t="n">
        <v>45639</v>
      </c>
      <c r="D120" t="inlineStr">
        <is>
          <t>GÄVLEBORGS LÄN</t>
        </is>
      </c>
      <c r="E120" t="inlineStr">
        <is>
          <t>HOFORS</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46281-2020</t>
        </is>
      </c>
      <c r="B121" s="1" t="n">
        <v>44092</v>
      </c>
      <c r="C121" s="1" t="n">
        <v>45639</v>
      </c>
      <c r="D121" t="inlineStr">
        <is>
          <t>GÄVLEBORGS LÄN</t>
        </is>
      </c>
      <c r="E121" t="inlineStr">
        <is>
          <t>HOFORS</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46270-2020</t>
        </is>
      </c>
      <c r="B122" s="1" t="n">
        <v>44092</v>
      </c>
      <c r="C122" s="1" t="n">
        <v>45639</v>
      </c>
      <c r="D122" t="inlineStr">
        <is>
          <t>GÄVLEBORGS LÄN</t>
        </is>
      </c>
      <c r="E122" t="inlineStr">
        <is>
          <t>HOFORS</t>
        </is>
      </c>
      <c r="F122" t="inlineStr">
        <is>
          <t>Sveaskog</t>
        </is>
      </c>
      <c r="G122" t="n">
        <v>5.3</v>
      </c>
      <c r="H122" t="n">
        <v>0</v>
      </c>
      <c r="I122" t="n">
        <v>0</v>
      </c>
      <c r="J122" t="n">
        <v>0</v>
      </c>
      <c r="K122" t="n">
        <v>0</v>
      </c>
      <c r="L122" t="n">
        <v>0</v>
      </c>
      <c r="M122" t="n">
        <v>0</v>
      </c>
      <c r="N122" t="n">
        <v>0</v>
      </c>
      <c r="O122" t="n">
        <v>0</v>
      </c>
      <c r="P122" t="n">
        <v>0</v>
      </c>
      <c r="Q122" t="n">
        <v>0</v>
      </c>
      <c r="R122" s="2" t="inlineStr"/>
    </row>
    <row r="123" ht="15" customHeight="1">
      <c r="A123" t="inlineStr">
        <is>
          <t>A 46278-2020</t>
        </is>
      </c>
      <c r="B123" s="1" t="n">
        <v>44092</v>
      </c>
      <c r="C123" s="1" t="n">
        <v>45639</v>
      </c>
      <c r="D123" t="inlineStr">
        <is>
          <t>GÄVLEBORGS LÄN</t>
        </is>
      </c>
      <c r="E123" t="inlineStr">
        <is>
          <t>HOFORS</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49708-2020</t>
        </is>
      </c>
      <c r="B124" s="1" t="n">
        <v>44106</v>
      </c>
      <c r="C124" s="1" t="n">
        <v>45639</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55301-2020</t>
        </is>
      </c>
      <c r="B125" s="1" t="n">
        <v>44130</v>
      </c>
      <c r="C125" s="1" t="n">
        <v>45639</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56671-2020</t>
        </is>
      </c>
      <c r="B126" s="1" t="n">
        <v>44137</v>
      </c>
      <c r="C126" s="1" t="n">
        <v>45639</v>
      </c>
      <c r="D126" t="inlineStr">
        <is>
          <t>GÄVLEBORGS LÄN</t>
        </is>
      </c>
      <c r="E126" t="inlineStr">
        <is>
          <t>HOFORS</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56603-2020</t>
        </is>
      </c>
      <c r="B127" s="1" t="n">
        <v>44137</v>
      </c>
      <c r="C127" s="1" t="n">
        <v>45639</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58322-2020</t>
        </is>
      </c>
      <c r="B128" s="1" t="n">
        <v>44145</v>
      </c>
      <c r="C128" s="1" t="n">
        <v>45639</v>
      </c>
      <c r="D128" t="inlineStr">
        <is>
          <t>GÄVLEBORGS LÄN</t>
        </is>
      </c>
      <c r="E128" t="inlineStr">
        <is>
          <t>HOFORS</t>
        </is>
      </c>
      <c r="G128" t="n">
        <v>0.5</v>
      </c>
      <c r="H128" t="n">
        <v>0</v>
      </c>
      <c r="I128" t="n">
        <v>0</v>
      </c>
      <c r="J128" t="n">
        <v>0</v>
      </c>
      <c r="K128" t="n">
        <v>0</v>
      </c>
      <c r="L128" t="n">
        <v>0</v>
      </c>
      <c r="M128" t="n">
        <v>0</v>
      </c>
      <c r="N128" t="n">
        <v>0</v>
      </c>
      <c r="O128" t="n">
        <v>0</v>
      </c>
      <c r="P128" t="n">
        <v>0</v>
      </c>
      <c r="Q128" t="n">
        <v>0</v>
      </c>
      <c r="R128" s="2" t="inlineStr"/>
    </row>
    <row r="129" ht="15" customHeight="1">
      <c r="A129" t="inlineStr">
        <is>
          <t>A 58338-2020</t>
        </is>
      </c>
      <c r="B129" s="1" t="n">
        <v>44145</v>
      </c>
      <c r="C129" s="1" t="n">
        <v>45639</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61836-2020</t>
        </is>
      </c>
      <c r="B130" s="1" t="n">
        <v>44159</v>
      </c>
      <c r="C130" s="1" t="n">
        <v>45639</v>
      </c>
      <c r="D130" t="inlineStr">
        <is>
          <t>GÄVLEBORGS LÄN</t>
        </is>
      </c>
      <c r="E130" t="inlineStr">
        <is>
          <t>HOFORS</t>
        </is>
      </c>
      <c r="G130" t="n">
        <v>12.4</v>
      </c>
      <c r="H130" t="n">
        <v>0</v>
      </c>
      <c r="I130" t="n">
        <v>0</v>
      </c>
      <c r="J130" t="n">
        <v>0</v>
      </c>
      <c r="K130" t="n">
        <v>0</v>
      </c>
      <c r="L130" t="n">
        <v>0</v>
      </c>
      <c r="M130" t="n">
        <v>0</v>
      </c>
      <c r="N130" t="n">
        <v>0</v>
      </c>
      <c r="O130" t="n">
        <v>0</v>
      </c>
      <c r="P130" t="n">
        <v>0</v>
      </c>
      <c r="Q130" t="n">
        <v>0</v>
      </c>
      <c r="R130" s="2" t="inlineStr"/>
    </row>
    <row r="131" ht="15" customHeight="1">
      <c r="A131" t="inlineStr">
        <is>
          <t>A 61835-2020</t>
        </is>
      </c>
      <c r="B131" s="1" t="n">
        <v>44159</v>
      </c>
      <c r="C131" s="1" t="n">
        <v>45639</v>
      </c>
      <c r="D131" t="inlineStr">
        <is>
          <t>GÄVLEBORGS LÄN</t>
        </is>
      </c>
      <c r="E131" t="inlineStr">
        <is>
          <t>HOFORS</t>
        </is>
      </c>
      <c r="G131" t="n">
        <v>9.4</v>
      </c>
      <c r="H131" t="n">
        <v>0</v>
      </c>
      <c r="I131" t="n">
        <v>0</v>
      </c>
      <c r="J131" t="n">
        <v>0</v>
      </c>
      <c r="K131" t="n">
        <v>0</v>
      </c>
      <c r="L131" t="n">
        <v>0</v>
      </c>
      <c r="M131" t="n">
        <v>0</v>
      </c>
      <c r="N131" t="n">
        <v>0</v>
      </c>
      <c r="O131" t="n">
        <v>0</v>
      </c>
      <c r="P131" t="n">
        <v>0</v>
      </c>
      <c r="Q131" t="n">
        <v>0</v>
      </c>
      <c r="R131" s="2" t="inlineStr"/>
    </row>
    <row r="132" ht="15" customHeight="1">
      <c r="A132" t="inlineStr">
        <is>
          <t>A 62475-2020</t>
        </is>
      </c>
      <c r="B132" s="1" t="n">
        <v>44160</v>
      </c>
      <c r="C132" s="1" t="n">
        <v>45639</v>
      </c>
      <c r="D132" t="inlineStr">
        <is>
          <t>GÄVLEBORGS LÄN</t>
        </is>
      </c>
      <c r="E132" t="inlineStr">
        <is>
          <t>HOFORS</t>
        </is>
      </c>
      <c r="G132" t="n">
        <v>1.2</v>
      </c>
      <c r="H132" t="n">
        <v>0</v>
      </c>
      <c r="I132" t="n">
        <v>0</v>
      </c>
      <c r="J132" t="n">
        <v>0</v>
      </c>
      <c r="K132" t="n">
        <v>0</v>
      </c>
      <c r="L132" t="n">
        <v>0</v>
      </c>
      <c r="M132" t="n">
        <v>0</v>
      </c>
      <c r="N132" t="n">
        <v>0</v>
      </c>
      <c r="O132" t="n">
        <v>0</v>
      </c>
      <c r="P132" t="n">
        <v>0</v>
      </c>
      <c r="Q132" t="n">
        <v>0</v>
      </c>
      <c r="R132" s="2" t="inlineStr"/>
    </row>
    <row r="133" ht="15" customHeight="1">
      <c r="A133" t="inlineStr">
        <is>
          <t>A 63951-2020</t>
        </is>
      </c>
      <c r="B133" s="1" t="n">
        <v>44167</v>
      </c>
      <c r="C133" s="1" t="n">
        <v>45639</v>
      </c>
      <c r="D133" t="inlineStr">
        <is>
          <t>GÄVLEBORGS LÄN</t>
        </is>
      </c>
      <c r="E133" t="inlineStr">
        <is>
          <t>HOFORS</t>
        </is>
      </c>
      <c r="G133" t="n">
        <v>3.2</v>
      </c>
      <c r="H133" t="n">
        <v>0</v>
      </c>
      <c r="I133" t="n">
        <v>0</v>
      </c>
      <c r="J133" t="n">
        <v>0</v>
      </c>
      <c r="K133" t="n">
        <v>0</v>
      </c>
      <c r="L133" t="n">
        <v>0</v>
      </c>
      <c r="M133" t="n">
        <v>0</v>
      </c>
      <c r="N133" t="n">
        <v>0</v>
      </c>
      <c r="O133" t="n">
        <v>0</v>
      </c>
      <c r="P133" t="n">
        <v>0</v>
      </c>
      <c r="Q133" t="n">
        <v>0</v>
      </c>
      <c r="R133" s="2" t="inlineStr"/>
    </row>
    <row r="134" ht="15" customHeight="1">
      <c r="A134" t="inlineStr">
        <is>
          <t>A 68397-2020</t>
        </is>
      </c>
      <c r="B134" s="1" t="n">
        <v>44186</v>
      </c>
      <c r="C134" s="1" t="n">
        <v>45639</v>
      </c>
      <c r="D134" t="inlineStr">
        <is>
          <t>GÄVLEBORGS LÄN</t>
        </is>
      </c>
      <c r="E134" t="inlineStr">
        <is>
          <t>HOFORS</t>
        </is>
      </c>
      <c r="G134" t="n">
        <v>4.1</v>
      </c>
      <c r="H134" t="n">
        <v>0</v>
      </c>
      <c r="I134" t="n">
        <v>0</v>
      </c>
      <c r="J134" t="n">
        <v>0</v>
      </c>
      <c r="K134" t="n">
        <v>0</v>
      </c>
      <c r="L134" t="n">
        <v>0</v>
      </c>
      <c r="M134" t="n">
        <v>0</v>
      </c>
      <c r="N134" t="n">
        <v>0</v>
      </c>
      <c r="O134" t="n">
        <v>0</v>
      </c>
      <c r="P134" t="n">
        <v>0</v>
      </c>
      <c r="Q134" t="n">
        <v>0</v>
      </c>
      <c r="R134" s="2" t="inlineStr"/>
    </row>
    <row r="135" ht="15" customHeight="1">
      <c r="A135" t="inlineStr">
        <is>
          <t>A 3802-2021</t>
        </is>
      </c>
      <c r="B135" s="1" t="n">
        <v>44221</v>
      </c>
      <c r="C135" s="1" t="n">
        <v>45639</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5557-2021</t>
        </is>
      </c>
      <c r="B136" s="1" t="n">
        <v>44230</v>
      </c>
      <c r="C136" s="1" t="n">
        <v>45639</v>
      </c>
      <c r="D136" t="inlineStr">
        <is>
          <t>GÄVLEBORGS LÄN</t>
        </is>
      </c>
      <c r="E136" t="inlineStr">
        <is>
          <t>HOFORS</t>
        </is>
      </c>
      <c r="G136" t="n">
        <v>4</v>
      </c>
      <c r="H136" t="n">
        <v>0</v>
      </c>
      <c r="I136" t="n">
        <v>0</v>
      </c>
      <c r="J136" t="n">
        <v>0</v>
      </c>
      <c r="K136" t="n">
        <v>0</v>
      </c>
      <c r="L136" t="n">
        <v>0</v>
      </c>
      <c r="M136" t="n">
        <v>0</v>
      </c>
      <c r="N136" t="n">
        <v>0</v>
      </c>
      <c r="O136" t="n">
        <v>0</v>
      </c>
      <c r="P136" t="n">
        <v>0</v>
      </c>
      <c r="Q136" t="n">
        <v>0</v>
      </c>
      <c r="R136" s="2" t="inlineStr"/>
    </row>
    <row r="137" ht="15" customHeight="1">
      <c r="A137" t="inlineStr">
        <is>
          <t>A 12057-2021</t>
        </is>
      </c>
      <c r="B137" s="1" t="n">
        <v>44266</v>
      </c>
      <c r="C137" s="1" t="n">
        <v>45639</v>
      </c>
      <c r="D137" t="inlineStr">
        <is>
          <t>GÄVLEBORGS LÄN</t>
        </is>
      </c>
      <c r="E137" t="inlineStr">
        <is>
          <t>HOFORS</t>
        </is>
      </c>
      <c r="G137" t="n">
        <v>2.6</v>
      </c>
      <c r="H137" t="n">
        <v>0</v>
      </c>
      <c r="I137" t="n">
        <v>0</v>
      </c>
      <c r="J137" t="n">
        <v>0</v>
      </c>
      <c r="K137" t="n">
        <v>0</v>
      </c>
      <c r="L137" t="n">
        <v>0</v>
      </c>
      <c r="M137" t="n">
        <v>0</v>
      </c>
      <c r="N137" t="n">
        <v>0</v>
      </c>
      <c r="O137" t="n">
        <v>0</v>
      </c>
      <c r="P137" t="n">
        <v>0</v>
      </c>
      <c r="Q137" t="n">
        <v>0</v>
      </c>
      <c r="R137" s="2" t="inlineStr"/>
    </row>
    <row r="138" ht="15" customHeight="1">
      <c r="A138" t="inlineStr">
        <is>
          <t>A 12399-2021</t>
        </is>
      </c>
      <c r="B138" s="1" t="n">
        <v>44267</v>
      </c>
      <c r="C138" s="1" t="n">
        <v>45639</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16985-2021</t>
        </is>
      </c>
      <c r="B139" s="1" t="n">
        <v>44295</v>
      </c>
      <c r="C139" s="1" t="n">
        <v>45639</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20119-2021</t>
        </is>
      </c>
      <c r="B140" s="1" t="n">
        <v>44314</v>
      </c>
      <c r="C140" s="1" t="n">
        <v>45639</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24851-2021</t>
        </is>
      </c>
      <c r="B141" s="1" t="n">
        <v>44340</v>
      </c>
      <c r="C141" s="1" t="n">
        <v>45639</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45639</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43274-2021</t>
        </is>
      </c>
      <c r="B143" s="1" t="n">
        <v>44432</v>
      </c>
      <c r="C143" s="1" t="n">
        <v>45639</v>
      </c>
      <c r="D143" t="inlineStr">
        <is>
          <t>GÄVLEBORGS LÄN</t>
        </is>
      </c>
      <c r="E143" t="inlineStr">
        <is>
          <t>HOFORS</t>
        </is>
      </c>
      <c r="F143" t="inlineStr">
        <is>
          <t>Sveaskog</t>
        </is>
      </c>
      <c r="G143" t="n">
        <v>5.8</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v>
      </c>
      <c r="C144" s="1" t="n">
        <v>45639</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46364-2021</t>
        </is>
      </c>
      <c r="B145" s="1" t="n">
        <v>44442</v>
      </c>
      <c r="C145" s="1" t="n">
        <v>45639</v>
      </c>
      <c r="D145" t="inlineStr">
        <is>
          <t>GÄVLEBORGS LÄN</t>
        </is>
      </c>
      <c r="E145" t="inlineStr">
        <is>
          <t>HOFORS</t>
        </is>
      </c>
      <c r="F145" t="inlineStr">
        <is>
          <t>Sveaskog</t>
        </is>
      </c>
      <c r="G145" t="n">
        <v>4.4</v>
      </c>
      <c r="H145" t="n">
        <v>0</v>
      </c>
      <c r="I145" t="n">
        <v>0</v>
      </c>
      <c r="J145" t="n">
        <v>0</v>
      </c>
      <c r="K145" t="n">
        <v>0</v>
      </c>
      <c r="L145" t="n">
        <v>0</v>
      </c>
      <c r="M145" t="n">
        <v>0</v>
      </c>
      <c r="N145" t="n">
        <v>0</v>
      </c>
      <c r="O145" t="n">
        <v>0</v>
      </c>
      <c r="P145" t="n">
        <v>0</v>
      </c>
      <c r="Q145" t="n">
        <v>0</v>
      </c>
      <c r="R145" s="2" t="inlineStr"/>
      <c r="U145">
        <f>HYPERLINK("https://klasma.github.io/Logging_2104/knärot/A 46364-2021 karta knärot.png", "A 46364-2021")</f>
        <v/>
      </c>
      <c r="V145">
        <f>HYPERLINK("https://klasma.github.io/Logging_2104/klagomål/A 46364-2021 FSC-klagomål.docx", "A 46364-2021")</f>
        <v/>
      </c>
      <c r="W145">
        <f>HYPERLINK("https://klasma.github.io/Logging_2104/klagomålsmail/A 46364-2021 FSC-klagomål mail.docx", "A 46364-2021")</f>
        <v/>
      </c>
      <c r="X145">
        <f>HYPERLINK("https://klasma.github.io/Logging_2104/tillsyn/A 46364-2021 tillsynsbegäran.docx", "A 46364-2021")</f>
        <v/>
      </c>
      <c r="Y145">
        <f>HYPERLINK("https://klasma.github.io/Logging_2104/tillsynsmail/A 46364-2021 tillsynsbegäran mail.docx", "A 46364-2021")</f>
        <v/>
      </c>
    </row>
    <row r="146" ht="15" customHeight="1">
      <c r="A146" t="inlineStr">
        <is>
          <t>A 47531-2021</t>
        </is>
      </c>
      <c r="B146" s="1" t="n">
        <v>44447</v>
      </c>
      <c r="C146" s="1" t="n">
        <v>45639</v>
      </c>
      <c r="D146" t="inlineStr">
        <is>
          <t>GÄVLEBORGS LÄN</t>
        </is>
      </c>
      <c r="E146" t="inlineStr">
        <is>
          <t>HOFORS</t>
        </is>
      </c>
      <c r="G146" t="n">
        <v>7.6</v>
      </c>
      <c r="H146" t="n">
        <v>0</v>
      </c>
      <c r="I146" t="n">
        <v>0</v>
      </c>
      <c r="J146" t="n">
        <v>0</v>
      </c>
      <c r="K146" t="n">
        <v>0</v>
      </c>
      <c r="L146" t="n">
        <v>0</v>
      </c>
      <c r="M146" t="n">
        <v>0</v>
      </c>
      <c r="N146" t="n">
        <v>0</v>
      </c>
      <c r="O146" t="n">
        <v>0</v>
      </c>
      <c r="P146" t="n">
        <v>0</v>
      </c>
      <c r="Q146" t="n">
        <v>0</v>
      </c>
      <c r="R146" s="2" t="inlineStr"/>
    </row>
    <row r="147" ht="15" customHeight="1">
      <c r="A147" t="inlineStr">
        <is>
          <t>A 47485-2021</t>
        </is>
      </c>
      <c r="B147" s="1" t="n">
        <v>44447</v>
      </c>
      <c r="C147" s="1" t="n">
        <v>45639</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47538-2021</t>
        </is>
      </c>
      <c r="B148" s="1" t="n">
        <v>44447</v>
      </c>
      <c r="C148" s="1" t="n">
        <v>45639</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47639-2021</t>
        </is>
      </c>
      <c r="B149" s="1" t="n">
        <v>44448</v>
      </c>
      <c r="C149" s="1" t="n">
        <v>45639</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50278-2021</t>
        </is>
      </c>
      <c r="B150" s="1" t="n">
        <v>44456</v>
      </c>
      <c r="C150" s="1" t="n">
        <v>45639</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50681-2021</t>
        </is>
      </c>
      <c r="B151" s="1" t="n">
        <v>44460</v>
      </c>
      <c r="C151" s="1" t="n">
        <v>45639</v>
      </c>
      <c r="D151" t="inlineStr">
        <is>
          <t>GÄVLEBORGS LÄN</t>
        </is>
      </c>
      <c r="E151" t="inlineStr">
        <is>
          <t>HOFORS</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52890-2021</t>
        </is>
      </c>
      <c r="B152" s="1" t="n">
        <v>44467</v>
      </c>
      <c r="C152" s="1" t="n">
        <v>45639</v>
      </c>
      <c r="D152" t="inlineStr">
        <is>
          <t>GÄVLEBORGS LÄN</t>
        </is>
      </c>
      <c r="E152" t="inlineStr">
        <is>
          <t>HOFORS</t>
        </is>
      </c>
      <c r="G152" t="n">
        <v>1.5</v>
      </c>
      <c r="H152" t="n">
        <v>0</v>
      </c>
      <c r="I152" t="n">
        <v>0</v>
      </c>
      <c r="J152" t="n">
        <v>0</v>
      </c>
      <c r="K152" t="n">
        <v>0</v>
      </c>
      <c r="L152" t="n">
        <v>0</v>
      </c>
      <c r="M152" t="n">
        <v>0</v>
      </c>
      <c r="N152" t="n">
        <v>0</v>
      </c>
      <c r="O152" t="n">
        <v>0</v>
      </c>
      <c r="P152" t="n">
        <v>0</v>
      </c>
      <c r="Q152" t="n">
        <v>0</v>
      </c>
      <c r="R152" s="2" t="inlineStr"/>
    </row>
    <row r="153" ht="15" customHeight="1">
      <c r="A153" t="inlineStr">
        <is>
          <t>A 54154-2021</t>
        </is>
      </c>
      <c r="B153" s="1" t="n">
        <v>44470</v>
      </c>
      <c r="C153" s="1" t="n">
        <v>45639</v>
      </c>
      <c r="D153" t="inlineStr">
        <is>
          <t>GÄVLEBORGS LÄN</t>
        </is>
      </c>
      <c r="E153" t="inlineStr">
        <is>
          <t>HOFORS</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54616-2021</t>
        </is>
      </c>
      <c r="B154" s="1" t="n">
        <v>44473</v>
      </c>
      <c r="C154" s="1" t="n">
        <v>45639</v>
      </c>
      <c r="D154" t="inlineStr">
        <is>
          <t>GÄVLEBORGS LÄN</t>
        </is>
      </c>
      <c r="E154" t="inlineStr">
        <is>
          <t>HOFORS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54826-2021</t>
        </is>
      </c>
      <c r="B155" s="1" t="n">
        <v>44473</v>
      </c>
      <c r="C155" s="1" t="n">
        <v>45639</v>
      </c>
      <c r="D155" t="inlineStr">
        <is>
          <t>GÄVLEBORGS LÄN</t>
        </is>
      </c>
      <c r="E155" t="inlineStr">
        <is>
          <t>HOFORS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57632-2021</t>
        </is>
      </c>
      <c r="B156" s="1" t="n">
        <v>44484</v>
      </c>
      <c r="C156" s="1" t="n">
        <v>45639</v>
      </c>
      <c r="D156" t="inlineStr">
        <is>
          <t>GÄVLEBORGS LÄN</t>
        </is>
      </c>
      <c r="E156" t="inlineStr">
        <is>
          <t>HOFORS</t>
        </is>
      </c>
      <c r="G156" t="n">
        <v>4.1</v>
      </c>
      <c r="H156" t="n">
        <v>0</v>
      </c>
      <c r="I156" t="n">
        <v>0</v>
      </c>
      <c r="J156" t="n">
        <v>0</v>
      </c>
      <c r="K156" t="n">
        <v>0</v>
      </c>
      <c r="L156" t="n">
        <v>0</v>
      </c>
      <c r="M156" t="n">
        <v>0</v>
      </c>
      <c r="N156" t="n">
        <v>0</v>
      </c>
      <c r="O156" t="n">
        <v>0</v>
      </c>
      <c r="P156" t="n">
        <v>0</v>
      </c>
      <c r="Q156" t="n">
        <v>0</v>
      </c>
      <c r="R156" s="2" t="inlineStr"/>
    </row>
    <row r="157" ht="15" customHeight="1">
      <c r="A157" t="inlineStr">
        <is>
          <t>A 58240-2021</t>
        </is>
      </c>
      <c r="B157" s="1" t="n">
        <v>44487</v>
      </c>
      <c r="C157" s="1" t="n">
        <v>45639</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58787-2021</t>
        </is>
      </c>
      <c r="B158" s="1" t="n">
        <v>44489</v>
      </c>
      <c r="C158" s="1" t="n">
        <v>45639</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61687-2021</t>
        </is>
      </c>
      <c r="B159" s="1" t="n">
        <v>44501</v>
      </c>
      <c r="C159" s="1" t="n">
        <v>45639</v>
      </c>
      <c r="D159" t="inlineStr">
        <is>
          <t>GÄVLEBORGS LÄN</t>
        </is>
      </c>
      <c r="E159" t="inlineStr">
        <is>
          <t>HOFORS</t>
        </is>
      </c>
      <c r="G159" t="n">
        <v>1.6</v>
      </c>
      <c r="H159" t="n">
        <v>0</v>
      </c>
      <c r="I159" t="n">
        <v>0</v>
      </c>
      <c r="J159" t="n">
        <v>0</v>
      </c>
      <c r="K159" t="n">
        <v>0</v>
      </c>
      <c r="L159" t="n">
        <v>0</v>
      </c>
      <c r="M159" t="n">
        <v>0</v>
      </c>
      <c r="N159" t="n">
        <v>0</v>
      </c>
      <c r="O159" t="n">
        <v>0</v>
      </c>
      <c r="P159" t="n">
        <v>0</v>
      </c>
      <c r="Q159" t="n">
        <v>0</v>
      </c>
      <c r="R159" s="2" t="inlineStr"/>
    </row>
    <row r="160" ht="15" customHeight="1">
      <c r="A160" t="inlineStr">
        <is>
          <t>A 62875-2021</t>
        </is>
      </c>
      <c r="B160" s="1" t="n">
        <v>44504</v>
      </c>
      <c r="C160" s="1" t="n">
        <v>45639</v>
      </c>
      <c r="D160" t="inlineStr">
        <is>
          <t>GÄVLEBORGS LÄN</t>
        </is>
      </c>
      <c r="E160" t="inlineStr">
        <is>
          <t>HOFORS</t>
        </is>
      </c>
      <c r="G160" t="n">
        <v>1.5</v>
      </c>
      <c r="H160" t="n">
        <v>0</v>
      </c>
      <c r="I160" t="n">
        <v>0</v>
      </c>
      <c r="J160" t="n">
        <v>0</v>
      </c>
      <c r="K160" t="n">
        <v>0</v>
      </c>
      <c r="L160" t="n">
        <v>0</v>
      </c>
      <c r="M160" t="n">
        <v>0</v>
      </c>
      <c r="N160" t="n">
        <v>0</v>
      </c>
      <c r="O160" t="n">
        <v>0</v>
      </c>
      <c r="P160" t="n">
        <v>0</v>
      </c>
      <c r="Q160" t="n">
        <v>0</v>
      </c>
      <c r="R160" s="2" t="inlineStr"/>
    </row>
    <row r="161" ht="15" customHeight="1">
      <c r="A161" t="inlineStr">
        <is>
          <t>A 64706-2021</t>
        </is>
      </c>
      <c r="B161" s="1" t="n">
        <v>44512</v>
      </c>
      <c r="C161" s="1" t="n">
        <v>45639</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68079-2021</t>
        </is>
      </c>
      <c r="B162" s="1" t="n">
        <v>44526</v>
      </c>
      <c r="C162" s="1" t="n">
        <v>45639</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68076-2021</t>
        </is>
      </c>
      <c r="B163" s="1" t="n">
        <v>44526</v>
      </c>
      <c r="C163" s="1" t="n">
        <v>45639</v>
      </c>
      <c r="D163" t="inlineStr">
        <is>
          <t>GÄVLEBORGS LÄN</t>
        </is>
      </c>
      <c r="E163" t="inlineStr">
        <is>
          <t>HOFORS</t>
        </is>
      </c>
      <c r="G163" t="n">
        <v>4.2</v>
      </c>
      <c r="H163" t="n">
        <v>0</v>
      </c>
      <c r="I163" t="n">
        <v>0</v>
      </c>
      <c r="J163" t="n">
        <v>0</v>
      </c>
      <c r="K163" t="n">
        <v>0</v>
      </c>
      <c r="L163" t="n">
        <v>0</v>
      </c>
      <c r="M163" t="n">
        <v>0</v>
      </c>
      <c r="N163" t="n">
        <v>0</v>
      </c>
      <c r="O163" t="n">
        <v>0</v>
      </c>
      <c r="P163" t="n">
        <v>0</v>
      </c>
      <c r="Q163" t="n">
        <v>0</v>
      </c>
      <c r="R163" s="2" t="inlineStr"/>
    </row>
    <row r="164" ht="15" customHeight="1">
      <c r="A164" t="inlineStr">
        <is>
          <t>A 68078-2021</t>
        </is>
      </c>
      <c r="B164" s="1" t="n">
        <v>44526</v>
      </c>
      <c r="C164" s="1" t="n">
        <v>45639</v>
      </c>
      <c r="D164" t="inlineStr">
        <is>
          <t>GÄVLEBORGS LÄN</t>
        </is>
      </c>
      <c r="E164" t="inlineStr">
        <is>
          <t>HOFORS</t>
        </is>
      </c>
      <c r="G164" t="n">
        <v>1.6</v>
      </c>
      <c r="H164" t="n">
        <v>0</v>
      </c>
      <c r="I164" t="n">
        <v>0</v>
      </c>
      <c r="J164" t="n">
        <v>0</v>
      </c>
      <c r="K164" t="n">
        <v>0</v>
      </c>
      <c r="L164" t="n">
        <v>0</v>
      </c>
      <c r="M164" t="n">
        <v>0</v>
      </c>
      <c r="N164" t="n">
        <v>0</v>
      </c>
      <c r="O164" t="n">
        <v>0</v>
      </c>
      <c r="P164" t="n">
        <v>0</v>
      </c>
      <c r="Q164" t="n">
        <v>0</v>
      </c>
      <c r="R164" s="2" t="inlineStr"/>
    </row>
    <row r="165" ht="15" customHeight="1">
      <c r="A165" t="inlineStr">
        <is>
          <t>A 74255-2021</t>
        </is>
      </c>
      <c r="B165" s="1" t="n">
        <v>44558</v>
      </c>
      <c r="C165" s="1" t="n">
        <v>45639</v>
      </c>
      <c r="D165" t="inlineStr">
        <is>
          <t>GÄVLEBORGS LÄN</t>
        </is>
      </c>
      <c r="E165" t="inlineStr">
        <is>
          <t>HOFORS</t>
        </is>
      </c>
      <c r="G165" t="n">
        <v>3.4</v>
      </c>
      <c r="H165" t="n">
        <v>0</v>
      </c>
      <c r="I165" t="n">
        <v>0</v>
      </c>
      <c r="J165" t="n">
        <v>0</v>
      </c>
      <c r="K165" t="n">
        <v>0</v>
      </c>
      <c r="L165" t="n">
        <v>0</v>
      </c>
      <c r="M165" t="n">
        <v>0</v>
      </c>
      <c r="N165" t="n">
        <v>0</v>
      </c>
      <c r="O165" t="n">
        <v>0</v>
      </c>
      <c r="P165" t="n">
        <v>0</v>
      </c>
      <c r="Q165" t="n">
        <v>0</v>
      </c>
      <c r="R165" s="2" t="inlineStr"/>
    </row>
    <row r="166" ht="15" customHeight="1">
      <c r="A166" t="inlineStr">
        <is>
          <t>A 74254-2021</t>
        </is>
      </c>
      <c r="B166" s="1" t="n">
        <v>44558</v>
      </c>
      <c r="C166" s="1" t="n">
        <v>45639</v>
      </c>
      <c r="D166" t="inlineStr">
        <is>
          <t>GÄVLEBORGS LÄN</t>
        </is>
      </c>
      <c r="E166" t="inlineStr">
        <is>
          <t>HOFORS</t>
        </is>
      </c>
      <c r="G166" t="n">
        <v>8.1</v>
      </c>
      <c r="H166" t="n">
        <v>0</v>
      </c>
      <c r="I166" t="n">
        <v>0</v>
      </c>
      <c r="J166" t="n">
        <v>0</v>
      </c>
      <c r="K166" t="n">
        <v>0</v>
      </c>
      <c r="L166" t="n">
        <v>0</v>
      </c>
      <c r="M166" t="n">
        <v>0</v>
      </c>
      <c r="N166" t="n">
        <v>0</v>
      </c>
      <c r="O166" t="n">
        <v>0</v>
      </c>
      <c r="P166" t="n">
        <v>0</v>
      </c>
      <c r="Q166" t="n">
        <v>0</v>
      </c>
      <c r="R166" s="2" t="inlineStr"/>
    </row>
    <row r="167" ht="15" customHeight="1">
      <c r="A167" t="inlineStr">
        <is>
          <t>A 3052-2022</t>
        </is>
      </c>
      <c r="B167" s="1" t="n">
        <v>44582</v>
      </c>
      <c r="C167" s="1" t="n">
        <v>45639</v>
      </c>
      <c r="D167" t="inlineStr">
        <is>
          <t>GÄVLEBORGS LÄN</t>
        </is>
      </c>
      <c r="E167" t="inlineStr">
        <is>
          <t>HOFORS</t>
        </is>
      </c>
      <c r="G167" t="n">
        <v>0.7</v>
      </c>
      <c r="H167" t="n">
        <v>0</v>
      </c>
      <c r="I167" t="n">
        <v>0</v>
      </c>
      <c r="J167" t="n">
        <v>0</v>
      </c>
      <c r="K167" t="n">
        <v>0</v>
      </c>
      <c r="L167" t="n">
        <v>0</v>
      </c>
      <c r="M167" t="n">
        <v>0</v>
      </c>
      <c r="N167" t="n">
        <v>0</v>
      </c>
      <c r="O167" t="n">
        <v>0</v>
      </c>
      <c r="P167" t="n">
        <v>0</v>
      </c>
      <c r="Q167" t="n">
        <v>0</v>
      </c>
      <c r="R167" s="2" t="inlineStr"/>
    </row>
    <row r="168" ht="15" customHeight="1">
      <c r="A168" t="inlineStr">
        <is>
          <t>A 6560-2022</t>
        </is>
      </c>
      <c r="B168" s="1" t="n">
        <v>44601</v>
      </c>
      <c r="C168" s="1" t="n">
        <v>45639</v>
      </c>
      <c r="D168" t="inlineStr">
        <is>
          <t>GÄVLEBORGS LÄN</t>
        </is>
      </c>
      <c r="E168" t="inlineStr">
        <is>
          <t>HOFORS</t>
        </is>
      </c>
      <c r="G168" t="n">
        <v>12.2</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45639</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10587-2022</t>
        </is>
      </c>
      <c r="B170" s="1" t="n">
        <v>44624</v>
      </c>
      <c r="C170" s="1" t="n">
        <v>45639</v>
      </c>
      <c r="D170" t="inlineStr">
        <is>
          <t>GÄVLEBORGS LÄN</t>
        </is>
      </c>
      <c r="E170" t="inlineStr">
        <is>
          <t>HOFORS</t>
        </is>
      </c>
      <c r="G170" t="n">
        <v>5</v>
      </c>
      <c r="H170" t="n">
        <v>0</v>
      </c>
      <c r="I170" t="n">
        <v>0</v>
      </c>
      <c r="J170" t="n">
        <v>0</v>
      </c>
      <c r="K170" t="n">
        <v>0</v>
      </c>
      <c r="L170" t="n">
        <v>0</v>
      </c>
      <c r="M170" t="n">
        <v>0</v>
      </c>
      <c r="N170" t="n">
        <v>0</v>
      </c>
      <c r="O170" t="n">
        <v>0</v>
      </c>
      <c r="P170" t="n">
        <v>0</v>
      </c>
      <c r="Q170" t="n">
        <v>0</v>
      </c>
      <c r="R170" s="2" t="inlineStr"/>
    </row>
    <row r="171" ht="15" customHeight="1">
      <c r="A171" t="inlineStr">
        <is>
          <t>A 10602-2022</t>
        </is>
      </c>
      <c r="B171" s="1" t="n">
        <v>44624</v>
      </c>
      <c r="C171" s="1" t="n">
        <v>45639</v>
      </c>
      <c r="D171" t="inlineStr">
        <is>
          <t>GÄVLEBORGS LÄN</t>
        </is>
      </c>
      <c r="E171" t="inlineStr">
        <is>
          <t>HOFORS</t>
        </is>
      </c>
      <c r="G171" t="n">
        <v>7</v>
      </c>
      <c r="H171" t="n">
        <v>0</v>
      </c>
      <c r="I171" t="n">
        <v>0</v>
      </c>
      <c r="J171" t="n">
        <v>0</v>
      </c>
      <c r="K171" t="n">
        <v>0</v>
      </c>
      <c r="L171" t="n">
        <v>0</v>
      </c>
      <c r="M171" t="n">
        <v>0</v>
      </c>
      <c r="N171" t="n">
        <v>0</v>
      </c>
      <c r="O171" t="n">
        <v>0</v>
      </c>
      <c r="P171" t="n">
        <v>0</v>
      </c>
      <c r="Q171" t="n">
        <v>0</v>
      </c>
      <c r="R171" s="2" t="inlineStr"/>
    </row>
    <row r="172" ht="15" customHeight="1">
      <c r="A172" t="inlineStr">
        <is>
          <t>A 13807-2022</t>
        </is>
      </c>
      <c r="B172" s="1" t="n">
        <v>44649</v>
      </c>
      <c r="C172" s="1" t="n">
        <v>45639</v>
      </c>
      <c r="D172" t="inlineStr">
        <is>
          <t>GÄVLEBORGS LÄN</t>
        </is>
      </c>
      <c r="E172" t="inlineStr">
        <is>
          <t>HOFORS</t>
        </is>
      </c>
      <c r="G172" t="n">
        <v>1.1</v>
      </c>
      <c r="H172" t="n">
        <v>0</v>
      </c>
      <c r="I172" t="n">
        <v>0</v>
      </c>
      <c r="J172" t="n">
        <v>0</v>
      </c>
      <c r="K172" t="n">
        <v>0</v>
      </c>
      <c r="L172" t="n">
        <v>0</v>
      </c>
      <c r="M172" t="n">
        <v>0</v>
      </c>
      <c r="N172" t="n">
        <v>0</v>
      </c>
      <c r="O172" t="n">
        <v>0</v>
      </c>
      <c r="P172" t="n">
        <v>0</v>
      </c>
      <c r="Q172" t="n">
        <v>0</v>
      </c>
      <c r="R172" s="2" t="inlineStr"/>
    </row>
    <row r="173" ht="15" customHeight="1">
      <c r="A173" t="inlineStr">
        <is>
          <t>A 16371-2022</t>
        </is>
      </c>
      <c r="B173" s="1" t="n">
        <v>44671</v>
      </c>
      <c r="C173" s="1" t="n">
        <v>45639</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17762-2022</t>
        </is>
      </c>
      <c r="B174" s="1" t="n">
        <v>44680</v>
      </c>
      <c r="C174" s="1" t="n">
        <v>45639</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19135-2022</t>
        </is>
      </c>
      <c r="B175" s="1" t="n">
        <v>44691</v>
      </c>
      <c r="C175" s="1" t="n">
        <v>45639</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19292-2022</t>
        </is>
      </c>
      <c r="B176" s="1" t="n">
        <v>44692</v>
      </c>
      <c r="C176" s="1" t="n">
        <v>45639</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28870-2022</t>
        </is>
      </c>
      <c r="B177" s="1" t="n">
        <v>44749</v>
      </c>
      <c r="C177" s="1" t="n">
        <v>45639</v>
      </c>
      <c r="D177" t="inlineStr">
        <is>
          <t>GÄVLEBORGS LÄN</t>
        </is>
      </c>
      <c r="E177" t="inlineStr">
        <is>
          <t>HOFORS</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31205-2022</t>
        </is>
      </c>
      <c r="B178" s="1" t="n">
        <v>44770</v>
      </c>
      <c r="C178" s="1" t="n">
        <v>45639</v>
      </c>
      <c r="D178" t="inlineStr">
        <is>
          <t>GÄVLEBORGS LÄN</t>
        </is>
      </c>
      <c r="E178" t="inlineStr">
        <is>
          <t>HOFORS</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32330-2022</t>
        </is>
      </c>
      <c r="B179" s="1" t="n">
        <v>44781</v>
      </c>
      <c r="C179" s="1" t="n">
        <v>45639</v>
      </c>
      <c r="D179" t="inlineStr">
        <is>
          <t>GÄVLEBORGS LÄN</t>
        </is>
      </c>
      <c r="E179" t="inlineStr">
        <is>
          <t>HOFORS</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32327-2022</t>
        </is>
      </c>
      <c r="B180" s="1" t="n">
        <v>44781</v>
      </c>
      <c r="C180" s="1" t="n">
        <v>45639</v>
      </c>
      <c r="D180" t="inlineStr">
        <is>
          <t>GÄVLEBORGS LÄN</t>
        </is>
      </c>
      <c r="E180" t="inlineStr">
        <is>
          <t>HOFORS</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33672-2022</t>
        </is>
      </c>
      <c r="B181" s="1" t="n">
        <v>44789</v>
      </c>
      <c r="C181" s="1" t="n">
        <v>45639</v>
      </c>
      <c r="D181" t="inlineStr">
        <is>
          <t>GÄVLEBORGS LÄN</t>
        </is>
      </c>
      <c r="E181" t="inlineStr">
        <is>
          <t>HOFORS</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36882-2022</t>
        </is>
      </c>
      <c r="B182" s="1" t="n">
        <v>44805</v>
      </c>
      <c r="C182" s="1" t="n">
        <v>45639</v>
      </c>
      <c r="D182" t="inlineStr">
        <is>
          <t>GÄVLEBORGS LÄN</t>
        </is>
      </c>
      <c r="E182" t="inlineStr">
        <is>
          <t>HOFORS</t>
        </is>
      </c>
      <c r="F182" t="inlineStr">
        <is>
          <t>Sveaskog</t>
        </is>
      </c>
      <c r="G182" t="n">
        <v>7.3</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45639</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37743-2022</t>
        </is>
      </c>
      <c r="B184" s="1" t="n">
        <v>44810</v>
      </c>
      <c r="C184" s="1" t="n">
        <v>45639</v>
      </c>
      <c r="D184" t="inlineStr">
        <is>
          <t>GÄVLEBORGS LÄN</t>
        </is>
      </c>
      <c r="E184" t="inlineStr">
        <is>
          <t>HOFORS</t>
        </is>
      </c>
      <c r="G184" t="n">
        <v>1.6</v>
      </c>
      <c r="H184" t="n">
        <v>0</v>
      </c>
      <c r="I184" t="n">
        <v>0</v>
      </c>
      <c r="J184" t="n">
        <v>0</v>
      </c>
      <c r="K184" t="n">
        <v>0</v>
      </c>
      <c r="L184" t="n">
        <v>0</v>
      </c>
      <c r="M184" t="n">
        <v>0</v>
      </c>
      <c r="N184" t="n">
        <v>0</v>
      </c>
      <c r="O184" t="n">
        <v>0</v>
      </c>
      <c r="P184" t="n">
        <v>0</v>
      </c>
      <c r="Q184" t="n">
        <v>0</v>
      </c>
      <c r="R184" s="2" t="inlineStr"/>
    </row>
    <row r="185" ht="15" customHeight="1">
      <c r="A185" t="inlineStr">
        <is>
          <t>A 37767-2022</t>
        </is>
      </c>
      <c r="B185" s="1" t="n">
        <v>44810</v>
      </c>
      <c r="C185" s="1" t="n">
        <v>45639</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37744-2022</t>
        </is>
      </c>
      <c r="B186" s="1" t="n">
        <v>44810</v>
      </c>
      <c r="C186" s="1" t="n">
        <v>45639</v>
      </c>
      <c r="D186" t="inlineStr">
        <is>
          <t>GÄVLEBORGS LÄN</t>
        </is>
      </c>
      <c r="E186" t="inlineStr">
        <is>
          <t>HOFORS</t>
        </is>
      </c>
      <c r="G186" t="n">
        <v>1.1</v>
      </c>
      <c r="H186" t="n">
        <v>0</v>
      </c>
      <c r="I186" t="n">
        <v>0</v>
      </c>
      <c r="J186" t="n">
        <v>0</v>
      </c>
      <c r="K186" t="n">
        <v>0</v>
      </c>
      <c r="L186" t="n">
        <v>0</v>
      </c>
      <c r="M186" t="n">
        <v>0</v>
      </c>
      <c r="N186" t="n">
        <v>0</v>
      </c>
      <c r="O186" t="n">
        <v>0</v>
      </c>
      <c r="P186" t="n">
        <v>0</v>
      </c>
      <c r="Q186" t="n">
        <v>0</v>
      </c>
      <c r="R186" s="2" t="inlineStr"/>
    </row>
    <row r="187" ht="15" customHeight="1">
      <c r="A187" t="inlineStr">
        <is>
          <t>A 38251-2022</t>
        </is>
      </c>
      <c r="B187" s="1" t="n">
        <v>44812</v>
      </c>
      <c r="C187" s="1" t="n">
        <v>45639</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38815-2022</t>
        </is>
      </c>
      <c r="B188" s="1" t="n">
        <v>44816</v>
      </c>
      <c r="C188" s="1" t="n">
        <v>45639</v>
      </c>
      <c r="D188" t="inlineStr">
        <is>
          <t>GÄVLEBORGS LÄN</t>
        </is>
      </c>
      <c r="E188" t="inlineStr">
        <is>
          <t>HOFORS</t>
        </is>
      </c>
      <c r="G188" t="n">
        <v>5.5</v>
      </c>
      <c r="H188" t="n">
        <v>0</v>
      </c>
      <c r="I188" t="n">
        <v>0</v>
      </c>
      <c r="J188" t="n">
        <v>0</v>
      </c>
      <c r="K188" t="n">
        <v>0</v>
      </c>
      <c r="L188" t="n">
        <v>0</v>
      </c>
      <c r="M188" t="n">
        <v>0</v>
      </c>
      <c r="N188" t="n">
        <v>0</v>
      </c>
      <c r="O188" t="n">
        <v>0</v>
      </c>
      <c r="P188" t="n">
        <v>0</v>
      </c>
      <c r="Q188" t="n">
        <v>0</v>
      </c>
      <c r="R188" s="2" t="inlineStr"/>
    </row>
    <row r="189" ht="15" customHeight="1">
      <c r="A189" t="inlineStr">
        <is>
          <t>A 40515-2022</t>
        </is>
      </c>
      <c r="B189" s="1" t="n">
        <v>44823</v>
      </c>
      <c r="C189" s="1" t="n">
        <v>45639</v>
      </c>
      <c r="D189" t="inlineStr">
        <is>
          <t>GÄVLEBORGS LÄN</t>
        </is>
      </c>
      <c r="E189" t="inlineStr">
        <is>
          <t>HOFORS</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40517-2022</t>
        </is>
      </c>
      <c r="B190" s="1" t="n">
        <v>44823</v>
      </c>
      <c r="C190" s="1" t="n">
        <v>45639</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43610-2022</t>
        </is>
      </c>
      <c r="B191" s="1" t="n">
        <v>44837</v>
      </c>
      <c r="C191" s="1" t="n">
        <v>45639</v>
      </c>
      <c r="D191" t="inlineStr">
        <is>
          <t>GÄVLEBORGS LÄN</t>
        </is>
      </c>
      <c r="E191" t="inlineStr">
        <is>
          <t>HOFORS</t>
        </is>
      </c>
      <c r="F191" t="inlineStr">
        <is>
          <t>Sveaskog</t>
        </is>
      </c>
      <c r="G191" t="n">
        <v>17.6</v>
      </c>
      <c r="H191" t="n">
        <v>0</v>
      </c>
      <c r="I191" t="n">
        <v>0</v>
      </c>
      <c r="J191" t="n">
        <v>0</v>
      </c>
      <c r="K191" t="n">
        <v>0</v>
      </c>
      <c r="L191" t="n">
        <v>0</v>
      </c>
      <c r="M191" t="n">
        <v>0</v>
      </c>
      <c r="N191" t="n">
        <v>0</v>
      </c>
      <c r="O191" t="n">
        <v>0</v>
      </c>
      <c r="P191" t="n">
        <v>0</v>
      </c>
      <c r="Q191" t="n">
        <v>0</v>
      </c>
      <c r="R191" s="2" t="inlineStr"/>
    </row>
    <row r="192" ht="15" customHeight="1">
      <c r="A192" t="inlineStr">
        <is>
          <t>A 43631-2022</t>
        </is>
      </c>
      <c r="B192" s="1" t="n">
        <v>44837</v>
      </c>
      <c r="C192" s="1" t="n">
        <v>45639</v>
      </c>
      <c r="D192" t="inlineStr">
        <is>
          <t>GÄVLEBORGS LÄN</t>
        </is>
      </c>
      <c r="E192" t="inlineStr">
        <is>
          <t>HOFORS</t>
        </is>
      </c>
      <c r="G192" t="n">
        <v>1.6</v>
      </c>
      <c r="H192" t="n">
        <v>0</v>
      </c>
      <c r="I192" t="n">
        <v>0</v>
      </c>
      <c r="J192" t="n">
        <v>0</v>
      </c>
      <c r="K192" t="n">
        <v>0</v>
      </c>
      <c r="L192" t="n">
        <v>0</v>
      </c>
      <c r="M192" t="n">
        <v>0</v>
      </c>
      <c r="N192" t="n">
        <v>0</v>
      </c>
      <c r="O192" t="n">
        <v>0</v>
      </c>
      <c r="P192" t="n">
        <v>0</v>
      </c>
      <c r="Q192" t="n">
        <v>0</v>
      </c>
      <c r="R192" s="2" t="inlineStr"/>
    </row>
    <row r="193" ht="15" customHeight="1">
      <c r="A193" t="inlineStr">
        <is>
          <t>A 43603-2022</t>
        </is>
      </c>
      <c r="B193" s="1" t="n">
        <v>44837</v>
      </c>
      <c r="C193" s="1" t="n">
        <v>45639</v>
      </c>
      <c r="D193" t="inlineStr">
        <is>
          <t>GÄVLEBORGS LÄN</t>
        </is>
      </c>
      <c r="E193" t="inlineStr">
        <is>
          <t>HOFORS</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51205-2022</t>
        </is>
      </c>
      <c r="B194" s="1" t="n">
        <v>44868</v>
      </c>
      <c r="C194" s="1" t="n">
        <v>45639</v>
      </c>
      <c r="D194" t="inlineStr">
        <is>
          <t>GÄVLEBORGS LÄN</t>
        </is>
      </c>
      <c r="E194" t="inlineStr">
        <is>
          <t>HOFORS</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51202-2022</t>
        </is>
      </c>
      <c r="B195" s="1" t="n">
        <v>44868</v>
      </c>
      <c r="C195" s="1" t="n">
        <v>45639</v>
      </c>
      <c r="D195" t="inlineStr">
        <is>
          <t>GÄVLEBORGS LÄN</t>
        </is>
      </c>
      <c r="E195" t="inlineStr">
        <is>
          <t>HOFORS</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51277-2022</t>
        </is>
      </c>
      <c r="B196" s="1" t="n">
        <v>44868</v>
      </c>
      <c r="C196" s="1" t="n">
        <v>45639</v>
      </c>
      <c r="D196" t="inlineStr">
        <is>
          <t>GÄVLEBORGS LÄN</t>
        </is>
      </c>
      <c r="E196" t="inlineStr">
        <is>
          <t>HOFORS</t>
        </is>
      </c>
      <c r="G196" t="n">
        <v>1.2</v>
      </c>
      <c r="H196" t="n">
        <v>0</v>
      </c>
      <c r="I196" t="n">
        <v>0</v>
      </c>
      <c r="J196" t="n">
        <v>0</v>
      </c>
      <c r="K196" t="n">
        <v>0</v>
      </c>
      <c r="L196" t="n">
        <v>0</v>
      </c>
      <c r="M196" t="n">
        <v>0</v>
      </c>
      <c r="N196" t="n">
        <v>0</v>
      </c>
      <c r="O196" t="n">
        <v>0</v>
      </c>
      <c r="P196" t="n">
        <v>0</v>
      </c>
      <c r="Q196" t="n">
        <v>0</v>
      </c>
      <c r="R196" s="2" t="inlineStr"/>
    </row>
    <row r="197" ht="15" customHeight="1">
      <c r="A197" t="inlineStr">
        <is>
          <t>A 51276-2022</t>
        </is>
      </c>
      <c r="B197" s="1" t="n">
        <v>44868</v>
      </c>
      <c r="C197" s="1" t="n">
        <v>45639</v>
      </c>
      <c r="D197" t="inlineStr">
        <is>
          <t>GÄVLEBORGS LÄN</t>
        </is>
      </c>
      <c r="E197" t="inlineStr">
        <is>
          <t>HOFORS</t>
        </is>
      </c>
      <c r="G197" t="n">
        <v>1.5</v>
      </c>
      <c r="H197" t="n">
        <v>0</v>
      </c>
      <c r="I197" t="n">
        <v>0</v>
      </c>
      <c r="J197" t="n">
        <v>0</v>
      </c>
      <c r="K197" t="n">
        <v>0</v>
      </c>
      <c r="L197" t="n">
        <v>0</v>
      </c>
      <c r="M197" t="n">
        <v>0</v>
      </c>
      <c r="N197" t="n">
        <v>0</v>
      </c>
      <c r="O197" t="n">
        <v>0</v>
      </c>
      <c r="P197" t="n">
        <v>0</v>
      </c>
      <c r="Q197" t="n">
        <v>0</v>
      </c>
      <c r="R197" s="2" t="inlineStr"/>
    </row>
    <row r="198" ht="15" customHeight="1">
      <c r="A198" t="inlineStr">
        <is>
          <t>A 52320-2022</t>
        </is>
      </c>
      <c r="B198" s="1" t="n">
        <v>44873</v>
      </c>
      <c r="C198" s="1" t="n">
        <v>45639</v>
      </c>
      <c r="D198" t="inlineStr">
        <is>
          <t>GÄVLEBORGS LÄN</t>
        </is>
      </c>
      <c r="E198" t="inlineStr">
        <is>
          <t>HOFORS</t>
        </is>
      </c>
      <c r="G198" t="n">
        <v>6.1</v>
      </c>
      <c r="H198" t="n">
        <v>0</v>
      </c>
      <c r="I198" t="n">
        <v>0</v>
      </c>
      <c r="J198" t="n">
        <v>0</v>
      </c>
      <c r="K198" t="n">
        <v>0</v>
      </c>
      <c r="L198" t="n">
        <v>0</v>
      </c>
      <c r="M198" t="n">
        <v>0</v>
      </c>
      <c r="N198" t="n">
        <v>0</v>
      </c>
      <c r="O198" t="n">
        <v>0</v>
      </c>
      <c r="P198" t="n">
        <v>0</v>
      </c>
      <c r="Q198" t="n">
        <v>0</v>
      </c>
      <c r="R198" s="2" t="inlineStr"/>
    </row>
    <row r="199" ht="15" customHeight="1">
      <c r="A199" t="inlineStr">
        <is>
          <t>A 54192-2022</t>
        </is>
      </c>
      <c r="B199" s="1" t="n">
        <v>44881</v>
      </c>
      <c r="C199" s="1" t="n">
        <v>45639</v>
      </c>
      <c r="D199" t="inlineStr">
        <is>
          <t>GÄVLEBORGS LÄN</t>
        </is>
      </c>
      <c r="E199" t="inlineStr">
        <is>
          <t>HOFORS</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54191-2022</t>
        </is>
      </c>
      <c r="B200" s="1" t="n">
        <v>44881</v>
      </c>
      <c r="C200" s="1" t="n">
        <v>45639</v>
      </c>
      <c r="D200" t="inlineStr">
        <is>
          <t>GÄVLEBORGS LÄN</t>
        </is>
      </c>
      <c r="E200" t="inlineStr">
        <is>
          <t>HOFORS</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54616-2022</t>
        </is>
      </c>
      <c r="B201" s="1" t="n">
        <v>44883</v>
      </c>
      <c r="C201" s="1" t="n">
        <v>45639</v>
      </c>
      <c r="D201" t="inlineStr">
        <is>
          <t>GÄVLEBORGS LÄN</t>
        </is>
      </c>
      <c r="E201" t="inlineStr">
        <is>
          <t>HOFORS</t>
        </is>
      </c>
      <c r="F201" t="inlineStr">
        <is>
          <t>Kyrkan</t>
        </is>
      </c>
      <c r="G201" t="n">
        <v>4.8</v>
      </c>
      <c r="H201" t="n">
        <v>0</v>
      </c>
      <c r="I201" t="n">
        <v>0</v>
      </c>
      <c r="J201" t="n">
        <v>0</v>
      </c>
      <c r="K201" t="n">
        <v>0</v>
      </c>
      <c r="L201" t="n">
        <v>0</v>
      </c>
      <c r="M201" t="n">
        <v>0</v>
      </c>
      <c r="N201" t="n">
        <v>0</v>
      </c>
      <c r="O201" t="n">
        <v>0</v>
      </c>
      <c r="P201" t="n">
        <v>0</v>
      </c>
      <c r="Q201" t="n">
        <v>0</v>
      </c>
      <c r="R201" s="2" t="inlineStr"/>
    </row>
    <row r="202" ht="15" customHeight="1">
      <c r="A202" t="inlineStr">
        <is>
          <t>A 57971-2022</t>
        </is>
      </c>
      <c r="B202" s="1" t="n">
        <v>44900</v>
      </c>
      <c r="C202" s="1" t="n">
        <v>45639</v>
      </c>
      <c r="D202" t="inlineStr">
        <is>
          <t>GÄVLEBORGS LÄN</t>
        </is>
      </c>
      <c r="E202" t="inlineStr">
        <is>
          <t>HOFORS</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59567-2022</t>
        </is>
      </c>
      <c r="B203" s="1" t="n">
        <v>44907</v>
      </c>
      <c r="C203" s="1" t="n">
        <v>45639</v>
      </c>
      <c r="D203" t="inlineStr">
        <is>
          <t>GÄVLEBORGS LÄN</t>
        </is>
      </c>
      <c r="E203" t="inlineStr">
        <is>
          <t>HOFORS</t>
        </is>
      </c>
      <c r="G203" t="n">
        <v>1.4</v>
      </c>
      <c r="H203" t="n">
        <v>0</v>
      </c>
      <c r="I203" t="n">
        <v>0</v>
      </c>
      <c r="J203" t="n">
        <v>0</v>
      </c>
      <c r="K203" t="n">
        <v>0</v>
      </c>
      <c r="L203" t="n">
        <v>0</v>
      </c>
      <c r="M203" t="n">
        <v>0</v>
      </c>
      <c r="N203" t="n">
        <v>0</v>
      </c>
      <c r="O203" t="n">
        <v>0</v>
      </c>
      <c r="P203" t="n">
        <v>0</v>
      </c>
      <c r="Q203" t="n">
        <v>0</v>
      </c>
      <c r="R203" s="2" t="inlineStr"/>
    </row>
    <row r="204" ht="15" customHeight="1">
      <c r="A204" t="inlineStr">
        <is>
          <t>A 4451-2023</t>
        </is>
      </c>
      <c r="B204" s="1" t="n">
        <v>44956</v>
      </c>
      <c r="C204" s="1" t="n">
        <v>45639</v>
      </c>
      <c r="D204" t="inlineStr">
        <is>
          <t>GÄVLEBORGS LÄN</t>
        </is>
      </c>
      <c r="E204" t="inlineStr">
        <is>
          <t>HOFORS</t>
        </is>
      </c>
      <c r="G204" t="n">
        <v>5.1</v>
      </c>
      <c r="H204" t="n">
        <v>0</v>
      </c>
      <c r="I204" t="n">
        <v>0</v>
      </c>
      <c r="J204" t="n">
        <v>0</v>
      </c>
      <c r="K204" t="n">
        <v>0</v>
      </c>
      <c r="L204" t="n">
        <v>0</v>
      </c>
      <c r="M204" t="n">
        <v>0</v>
      </c>
      <c r="N204" t="n">
        <v>0</v>
      </c>
      <c r="O204" t="n">
        <v>0</v>
      </c>
      <c r="P204" t="n">
        <v>0</v>
      </c>
      <c r="Q204" t="n">
        <v>0</v>
      </c>
      <c r="R204" s="2" t="inlineStr"/>
    </row>
    <row r="205" ht="15" customHeight="1">
      <c r="A205" t="inlineStr">
        <is>
          <t>A 6929-2023</t>
        </is>
      </c>
      <c r="B205" s="1" t="n">
        <v>44967</v>
      </c>
      <c r="C205" s="1" t="n">
        <v>45639</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8510-2023</t>
        </is>
      </c>
      <c r="B206" s="1" t="n">
        <v>44977</v>
      </c>
      <c r="C206" s="1" t="n">
        <v>45639</v>
      </c>
      <c r="D206" t="inlineStr">
        <is>
          <t>GÄVLEBORGS LÄN</t>
        </is>
      </c>
      <c r="E206" t="inlineStr">
        <is>
          <t>HOFORS</t>
        </is>
      </c>
      <c r="G206" t="n">
        <v>0.4</v>
      </c>
      <c r="H206" t="n">
        <v>0</v>
      </c>
      <c r="I206" t="n">
        <v>0</v>
      </c>
      <c r="J206" t="n">
        <v>0</v>
      </c>
      <c r="K206" t="n">
        <v>0</v>
      </c>
      <c r="L206" t="n">
        <v>0</v>
      </c>
      <c r="M206" t="n">
        <v>0</v>
      </c>
      <c r="N206" t="n">
        <v>0</v>
      </c>
      <c r="O206" t="n">
        <v>0</v>
      </c>
      <c r="P206" t="n">
        <v>0</v>
      </c>
      <c r="Q206" t="n">
        <v>0</v>
      </c>
      <c r="R206" s="2" t="inlineStr"/>
    </row>
    <row r="207" ht="15" customHeight="1">
      <c r="A207" t="inlineStr">
        <is>
          <t>A 10161-2023</t>
        </is>
      </c>
      <c r="B207" s="1" t="n">
        <v>44986</v>
      </c>
      <c r="C207" s="1" t="n">
        <v>45639</v>
      </c>
      <c r="D207" t="inlineStr">
        <is>
          <t>GÄVLEBORGS LÄN</t>
        </is>
      </c>
      <c r="E207" t="inlineStr">
        <is>
          <t>HOFORS</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45639</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13744-2023</t>
        </is>
      </c>
      <c r="B209" s="1" t="n">
        <v>45007</v>
      </c>
      <c r="C209" s="1" t="n">
        <v>45639</v>
      </c>
      <c r="D209" t="inlineStr">
        <is>
          <t>GÄVLEBORGS LÄN</t>
        </is>
      </c>
      <c r="E209" t="inlineStr">
        <is>
          <t>HOFORS</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13745-2023</t>
        </is>
      </c>
      <c r="B210" s="1" t="n">
        <v>45007</v>
      </c>
      <c r="C210" s="1" t="n">
        <v>45639</v>
      </c>
      <c r="D210" t="inlineStr">
        <is>
          <t>GÄVLEBORGS LÄN</t>
        </is>
      </c>
      <c r="E210" t="inlineStr">
        <is>
          <t>HOFORS</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14811-2023</t>
        </is>
      </c>
      <c r="B211" s="1" t="n">
        <v>45014</v>
      </c>
      <c r="C211" s="1" t="n">
        <v>45639</v>
      </c>
      <c r="D211" t="inlineStr">
        <is>
          <t>GÄVLEBORGS LÄN</t>
        </is>
      </c>
      <c r="E211" t="inlineStr">
        <is>
          <t>HOFORS</t>
        </is>
      </c>
      <c r="G211" t="n">
        <v>0.7</v>
      </c>
      <c r="H211" t="n">
        <v>0</v>
      </c>
      <c r="I211" t="n">
        <v>0</v>
      </c>
      <c r="J211" t="n">
        <v>0</v>
      </c>
      <c r="K211" t="n">
        <v>0</v>
      </c>
      <c r="L211" t="n">
        <v>0</v>
      </c>
      <c r="M211" t="n">
        <v>0</v>
      </c>
      <c r="N211" t="n">
        <v>0</v>
      </c>
      <c r="O211" t="n">
        <v>0</v>
      </c>
      <c r="P211" t="n">
        <v>0</v>
      </c>
      <c r="Q211" t="n">
        <v>0</v>
      </c>
      <c r="R211" s="2" t="inlineStr"/>
    </row>
    <row r="212" ht="15" customHeight="1">
      <c r="A212" t="inlineStr">
        <is>
          <t>A 18693-2023</t>
        </is>
      </c>
      <c r="B212" s="1" t="n">
        <v>45043</v>
      </c>
      <c r="C212" s="1" t="n">
        <v>45639</v>
      </c>
      <c r="D212" t="inlineStr">
        <is>
          <t>GÄVLEBORGS LÄN</t>
        </is>
      </c>
      <c r="E212" t="inlineStr">
        <is>
          <t>HOFORS</t>
        </is>
      </c>
      <c r="G212" t="n">
        <v>2.5</v>
      </c>
      <c r="H212" t="n">
        <v>0</v>
      </c>
      <c r="I212" t="n">
        <v>0</v>
      </c>
      <c r="J212" t="n">
        <v>0</v>
      </c>
      <c r="K212" t="n">
        <v>0</v>
      </c>
      <c r="L212" t="n">
        <v>0</v>
      </c>
      <c r="M212" t="n">
        <v>0</v>
      </c>
      <c r="N212" t="n">
        <v>0</v>
      </c>
      <c r="O212" t="n">
        <v>0</v>
      </c>
      <c r="P212" t="n">
        <v>0</v>
      </c>
      <c r="Q212" t="n">
        <v>0</v>
      </c>
      <c r="R212" s="2" t="inlineStr"/>
    </row>
    <row r="213" ht="15" customHeight="1">
      <c r="A213" t="inlineStr">
        <is>
          <t>A 18690-2023</t>
        </is>
      </c>
      <c r="B213" s="1" t="n">
        <v>45043</v>
      </c>
      <c r="C213" s="1" t="n">
        <v>45639</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18930-2023</t>
        </is>
      </c>
      <c r="B214" s="1" t="n">
        <v>45044</v>
      </c>
      <c r="C214" s="1" t="n">
        <v>45639</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19476-2023</t>
        </is>
      </c>
      <c r="B215" s="1" t="n">
        <v>45050</v>
      </c>
      <c r="C215" s="1" t="n">
        <v>45639</v>
      </c>
      <c r="D215" t="inlineStr">
        <is>
          <t>GÄVLEBORGS LÄN</t>
        </is>
      </c>
      <c r="E215" t="inlineStr">
        <is>
          <t>HOFORS</t>
        </is>
      </c>
      <c r="G215" t="n">
        <v>1.4</v>
      </c>
      <c r="H215" t="n">
        <v>0</v>
      </c>
      <c r="I215" t="n">
        <v>0</v>
      </c>
      <c r="J215" t="n">
        <v>0</v>
      </c>
      <c r="K215" t="n">
        <v>0</v>
      </c>
      <c r="L215" t="n">
        <v>0</v>
      </c>
      <c r="M215" t="n">
        <v>0</v>
      </c>
      <c r="N215" t="n">
        <v>0</v>
      </c>
      <c r="O215" t="n">
        <v>0</v>
      </c>
      <c r="P215" t="n">
        <v>0</v>
      </c>
      <c r="Q215" t="n">
        <v>0</v>
      </c>
      <c r="R215" s="2" t="inlineStr"/>
    </row>
    <row r="216" ht="15" customHeight="1">
      <c r="A216" t="inlineStr">
        <is>
          <t>A 19475-2023</t>
        </is>
      </c>
      <c r="B216" s="1" t="n">
        <v>45050</v>
      </c>
      <c r="C216" s="1" t="n">
        <v>45639</v>
      </c>
      <c r="D216" t="inlineStr">
        <is>
          <t>GÄVLEBORGS LÄN</t>
        </is>
      </c>
      <c r="E216" t="inlineStr">
        <is>
          <t>HOFORS</t>
        </is>
      </c>
      <c r="G216" t="n">
        <v>2.1</v>
      </c>
      <c r="H216" t="n">
        <v>0</v>
      </c>
      <c r="I216" t="n">
        <v>0</v>
      </c>
      <c r="J216" t="n">
        <v>0</v>
      </c>
      <c r="K216" t="n">
        <v>0</v>
      </c>
      <c r="L216" t="n">
        <v>0</v>
      </c>
      <c r="M216" t="n">
        <v>0</v>
      </c>
      <c r="N216" t="n">
        <v>0</v>
      </c>
      <c r="O216" t="n">
        <v>0</v>
      </c>
      <c r="P216" t="n">
        <v>0</v>
      </c>
      <c r="Q216" t="n">
        <v>0</v>
      </c>
      <c r="R216" s="2" t="inlineStr"/>
    </row>
    <row r="217" ht="15" customHeight="1">
      <c r="A217" t="inlineStr">
        <is>
          <t>A 19684-2023</t>
        </is>
      </c>
      <c r="B217" s="1" t="n">
        <v>45051</v>
      </c>
      <c r="C217" s="1" t="n">
        <v>45639</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19685-2023</t>
        </is>
      </c>
      <c r="B218" s="1" t="n">
        <v>45051</v>
      </c>
      <c r="C218" s="1" t="n">
        <v>45639</v>
      </c>
      <c r="D218" t="inlineStr">
        <is>
          <t>GÄVLEBORGS LÄN</t>
        </is>
      </c>
      <c r="E218" t="inlineStr">
        <is>
          <t>HOFORS</t>
        </is>
      </c>
      <c r="G218" t="n">
        <v>3.4</v>
      </c>
      <c r="H218" t="n">
        <v>0</v>
      </c>
      <c r="I218" t="n">
        <v>0</v>
      </c>
      <c r="J218" t="n">
        <v>0</v>
      </c>
      <c r="K218" t="n">
        <v>0</v>
      </c>
      <c r="L218" t="n">
        <v>0</v>
      </c>
      <c r="M218" t="n">
        <v>0</v>
      </c>
      <c r="N218" t="n">
        <v>0</v>
      </c>
      <c r="O218" t="n">
        <v>0</v>
      </c>
      <c r="P218" t="n">
        <v>0</v>
      </c>
      <c r="Q218" t="n">
        <v>0</v>
      </c>
      <c r="R218" s="2" t="inlineStr"/>
    </row>
    <row r="219" ht="15" customHeight="1">
      <c r="A219" t="inlineStr">
        <is>
          <t>A 19687-2023</t>
        </is>
      </c>
      <c r="B219" s="1" t="n">
        <v>45051</v>
      </c>
      <c r="C219" s="1" t="n">
        <v>45639</v>
      </c>
      <c r="D219" t="inlineStr">
        <is>
          <t>GÄVLEBORGS LÄN</t>
        </is>
      </c>
      <c r="E219" t="inlineStr">
        <is>
          <t>HOFORS</t>
        </is>
      </c>
      <c r="G219" t="n">
        <v>1.7</v>
      </c>
      <c r="H219" t="n">
        <v>0</v>
      </c>
      <c r="I219" t="n">
        <v>0</v>
      </c>
      <c r="J219" t="n">
        <v>0</v>
      </c>
      <c r="K219" t="n">
        <v>0</v>
      </c>
      <c r="L219" t="n">
        <v>0</v>
      </c>
      <c r="M219" t="n">
        <v>0</v>
      </c>
      <c r="N219" t="n">
        <v>0</v>
      </c>
      <c r="O219" t="n">
        <v>0</v>
      </c>
      <c r="P219" t="n">
        <v>0</v>
      </c>
      <c r="Q219" t="n">
        <v>0</v>
      </c>
      <c r="R219" s="2" t="inlineStr"/>
    </row>
    <row r="220" ht="15" customHeight="1">
      <c r="A220" t="inlineStr">
        <is>
          <t>A 22129-2023</t>
        </is>
      </c>
      <c r="B220" s="1" t="n">
        <v>45069</v>
      </c>
      <c r="C220" s="1" t="n">
        <v>45639</v>
      </c>
      <c r="D220" t="inlineStr">
        <is>
          <t>GÄVLEBORGS LÄN</t>
        </is>
      </c>
      <c r="E220" t="inlineStr">
        <is>
          <t>HOFORS</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22297-2023</t>
        </is>
      </c>
      <c r="B221" s="1" t="n">
        <v>45070</v>
      </c>
      <c r="C221" s="1" t="n">
        <v>45639</v>
      </c>
      <c r="D221" t="inlineStr">
        <is>
          <t>GÄVLEBORGS LÄN</t>
        </is>
      </c>
      <c r="E221" t="inlineStr">
        <is>
          <t>HOFORS</t>
        </is>
      </c>
      <c r="G221" t="n">
        <v>5.9</v>
      </c>
      <c r="H221" t="n">
        <v>0</v>
      </c>
      <c r="I221" t="n">
        <v>0</v>
      </c>
      <c r="J221" t="n">
        <v>0</v>
      </c>
      <c r="K221" t="n">
        <v>0</v>
      </c>
      <c r="L221" t="n">
        <v>0</v>
      </c>
      <c r="M221" t="n">
        <v>0</v>
      </c>
      <c r="N221" t="n">
        <v>0</v>
      </c>
      <c r="O221" t="n">
        <v>0</v>
      </c>
      <c r="P221" t="n">
        <v>0</v>
      </c>
      <c r="Q221" t="n">
        <v>0</v>
      </c>
      <c r="R221" s="2" t="inlineStr"/>
    </row>
    <row r="222" ht="15" customHeight="1">
      <c r="A222" t="inlineStr">
        <is>
          <t>A 22787-2023</t>
        </is>
      </c>
      <c r="B222" s="1" t="n">
        <v>45072</v>
      </c>
      <c r="C222" s="1" t="n">
        <v>45639</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22904-2023</t>
        </is>
      </c>
      <c r="B223" s="1" t="n">
        <v>45072</v>
      </c>
      <c r="C223" s="1" t="n">
        <v>45639</v>
      </c>
      <c r="D223" t="inlineStr">
        <is>
          <t>GÄVLEBORGS LÄN</t>
        </is>
      </c>
      <c r="E223" t="inlineStr">
        <is>
          <t>HOFORS</t>
        </is>
      </c>
      <c r="G223" t="n">
        <v>1.8</v>
      </c>
      <c r="H223" t="n">
        <v>0</v>
      </c>
      <c r="I223" t="n">
        <v>0</v>
      </c>
      <c r="J223" t="n">
        <v>0</v>
      </c>
      <c r="K223" t="n">
        <v>0</v>
      </c>
      <c r="L223" t="n">
        <v>0</v>
      </c>
      <c r="M223" t="n">
        <v>0</v>
      </c>
      <c r="N223" t="n">
        <v>0</v>
      </c>
      <c r="O223" t="n">
        <v>0</v>
      </c>
      <c r="P223" t="n">
        <v>0</v>
      </c>
      <c r="Q223" t="n">
        <v>0</v>
      </c>
      <c r="R223" s="2" t="inlineStr"/>
    </row>
    <row r="224" ht="15" customHeight="1">
      <c r="A224" t="inlineStr">
        <is>
          <t>A 22783-2023</t>
        </is>
      </c>
      <c r="B224" s="1" t="n">
        <v>45072</v>
      </c>
      <c r="C224" s="1" t="n">
        <v>45639</v>
      </c>
      <c r="D224" t="inlineStr">
        <is>
          <t>GÄVLEBORGS LÄN</t>
        </is>
      </c>
      <c r="E224" t="inlineStr">
        <is>
          <t>HOFORS</t>
        </is>
      </c>
      <c r="G224" t="n">
        <v>2.4</v>
      </c>
      <c r="H224" t="n">
        <v>0</v>
      </c>
      <c r="I224" t="n">
        <v>0</v>
      </c>
      <c r="J224" t="n">
        <v>0</v>
      </c>
      <c r="K224" t="n">
        <v>0</v>
      </c>
      <c r="L224" t="n">
        <v>0</v>
      </c>
      <c r="M224" t="n">
        <v>0</v>
      </c>
      <c r="N224" t="n">
        <v>0</v>
      </c>
      <c r="O224" t="n">
        <v>0</v>
      </c>
      <c r="P224" t="n">
        <v>0</v>
      </c>
      <c r="Q224" t="n">
        <v>0</v>
      </c>
      <c r="R224" s="2" t="inlineStr"/>
    </row>
    <row r="225" ht="15" customHeight="1">
      <c r="A225" t="inlineStr">
        <is>
          <t>A 24646-2023</t>
        </is>
      </c>
      <c r="B225" s="1" t="n">
        <v>45084</v>
      </c>
      <c r="C225" s="1" t="n">
        <v>45639</v>
      </c>
      <c r="D225" t="inlineStr">
        <is>
          <t>GÄVLEBORGS LÄN</t>
        </is>
      </c>
      <c r="E225" t="inlineStr">
        <is>
          <t>HOFORS</t>
        </is>
      </c>
      <c r="G225" t="n">
        <v>1.1</v>
      </c>
      <c r="H225" t="n">
        <v>0</v>
      </c>
      <c r="I225" t="n">
        <v>0</v>
      </c>
      <c r="J225" t="n">
        <v>0</v>
      </c>
      <c r="K225" t="n">
        <v>0</v>
      </c>
      <c r="L225" t="n">
        <v>0</v>
      </c>
      <c r="M225" t="n">
        <v>0</v>
      </c>
      <c r="N225" t="n">
        <v>0</v>
      </c>
      <c r="O225" t="n">
        <v>0</v>
      </c>
      <c r="P225" t="n">
        <v>0</v>
      </c>
      <c r="Q225" t="n">
        <v>0</v>
      </c>
      <c r="R225" s="2" t="inlineStr"/>
    </row>
    <row r="226" ht="15" customHeight="1">
      <c r="A226" t="inlineStr">
        <is>
          <t>A 24769-2023</t>
        </is>
      </c>
      <c r="B226" s="1" t="n">
        <v>45084</v>
      </c>
      <c r="C226" s="1" t="n">
        <v>45639</v>
      </c>
      <c r="D226" t="inlineStr">
        <is>
          <t>GÄVLEBORGS LÄN</t>
        </is>
      </c>
      <c r="E226" t="inlineStr">
        <is>
          <t>HOFORS</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24772-2023</t>
        </is>
      </c>
      <c r="B227" s="1" t="n">
        <v>45084</v>
      </c>
      <c r="C227" s="1" t="n">
        <v>45639</v>
      </c>
      <c r="D227" t="inlineStr">
        <is>
          <t>GÄVLEBORGS LÄN</t>
        </is>
      </c>
      <c r="E227" t="inlineStr">
        <is>
          <t>HOFORS</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24989-2023</t>
        </is>
      </c>
      <c r="B228" s="1" t="n">
        <v>45085</v>
      </c>
      <c r="C228" s="1" t="n">
        <v>45639</v>
      </c>
      <c r="D228" t="inlineStr">
        <is>
          <t>GÄVLEBORGS LÄN</t>
        </is>
      </c>
      <c r="E228" t="inlineStr">
        <is>
          <t>HOFORS</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24988-2023</t>
        </is>
      </c>
      <c r="B229" s="1" t="n">
        <v>45085</v>
      </c>
      <c r="C229" s="1" t="n">
        <v>45639</v>
      </c>
      <c r="D229" t="inlineStr">
        <is>
          <t>GÄVLEBORGS LÄN</t>
        </is>
      </c>
      <c r="E229" t="inlineStr">
        <is>
          <t>HOFORS</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27583-2023</t>
        </is>
      </c>
      <c r="B230" s="1" t="n">
        <v>45097</v>
      </c>
      <c r="C230" s="1" t="n">
        <v>45639</v>
      </c>
      <c r="D230" t="inlineStr">
        <is>
          <t>GÄVLEBORGS LÄN</t>
        </is>
      </c>
      <c r="E230" t="inlineStr">
        <is>
          <t>HOFORS</t>
        </is>
      </c>
      <c r="G230" t="n">
        <v>2.3</v>
      </c>
      <c r="H230" t="n">
        <v>0</v>
      </c>
      <c r="I230" t="n">
        <v>0</v>
      </c>
      <c r="J230" t="n">
        <v>0</v>
      </c>
      <c r="K230" t="n">
        <v>0</v>
      </c>
      <c r="L230" t="n">
        <v>0</v>
      </c>
      <c r="M230" t="n">
        <v>0</v>
      </c>
      <c r="N230" t="n">
        <v>0</v>
      </c>
      <c r="O230" t="n">
        <v>0</v>
      </c>
      <c r="P230" t="n">
        <v>0</v>
      </c>
      <c r="Q230" t="n">
        <v>0</v>
      </c>
      <c r="R230" s="2" t="inlineStr"/>
    </row>
    <row r="231" ht="15" customHeight="1">
      <c r="A231" t="inlineStr">
        <is>
          <t>A 28058-2023</t>
        </is>
      </c>
      <c r="B231" s="1" t="n">
        <v>45099</v>
      </c>
      <c r="C231" s="1" t="n">
        <v>45639</v>
      </c>
      <c r="D231" t="inlineStr">
        <is>
          <t>GÄVLEBORGS LÄN</t>
        </is>
      </c>
      <c r="E231" t="inlineStr">
        <is>
          <t>HOFORS</t>
        </is>
      </c>
      <c r="G231" t="n">
        <v>2.5</v>
      </c>
      <c r="H231" t="n">
        <v>0</v>
      </c>
      <c r="I231" t="n">
        <v>0</v>
      </c>
      <c r="J231" t="n">
        <v>0</v>
      </c>
      <c r="K231" t="n">
        <v>0</v>
      </c>
      <c r="L231" t="n">
        <v>0</v>
      </c>
      <c r="M231" t="n">
        <v>0</v>
      </c>
      <c r="N231" t="n">
        <v>0</v>
      </c>
      <c r="O231" t="n">
        <v>0</v>
      </c>
      <c r="P231" t="n">
        <v>0</v>
      </c>
      <c r="Q231" t="n">
        <v>0</v>
      </c>
      <c r="R231" s="2" t="inlineStr"/>
    </row>
    <row r="232" ht="15" customHeight="1">
      <c r="A232" t="inlineStr">
        <is>
          <t>A 31607-2023</t>
        </is>
      </c>
      <c r="B232" s="1" t="n">
        <v>45117</v>
      </c>
      <c r="C232" s="1" t="n">
        <v>45639</v>
      </c>
      <c r="D232" t="inlineStr">
        <is>
          <t>GÄVLEBORGS LÄN</t>
        </is>
      </c>
      <c r="E232" t="inlineStr">
        <is>
          <t>HOFORS</t>
        </is>
      </c>
      <c r="G232" t="n">
        <v>3.8</v>
      </c>
      <c r="H232" t="n">
        <v>0</v>
      </c>
      <c r="I232" t="n">
        <v>0</v>
      </c>
      <c r="J232" t="n">
        <v>0</v>
      </c>
      <c r="K232" t="n">
        <v>0</v>
      </c>
      <c r="L232" t="n">
        <v>0</v>
      </c>
      <c r="M232" t="n">
        <v>0</v>
      </c>
      <c r="N232" t="n">
        <v>0</v>
      </c>
      <c r="O232" t="n">
        <v>0</v>
      </c>
      <c r="P232" t="n">
        <v>0</v>
      </c>
      <c r="Q232" t="n">
        <v>0</v>
      </c>
      <c r="R232" s="2" t="inlineStr"/>
    </row>
    <row r="233" ht="15" customHeight="1">
      <c r="A233" t="inlineStr">
        <is>
          <t>A 31611-2023</t>
        </is>
      </c>
      <c r="B233" s="1" t="n">
        <v>45117</v>
      </c>
      <c r="C233" s="1" t="n">
        <v>45639</v>
      </c>
      <c r="D233" t="inlineStr">
        <is>
          <t>GÄVLEBORGS LÄN</t>
        </is>
      </c>
      <c r="E233" t="inlineStr">
        <is>
          <t>HOFORS</t>
        </is>
      </c>
      <c r="G233" t="n">
        <v>4.4</v>
      </c>
      <c r="H233" t="n">
        <v>0</v>
      </c>
      <c r="I233" t="n">
        <v>0</v>
      </c>
      <c r="J233" t="n">
        <v>0</v>
      </c>
      <c r="K233" t="n">
        <v>0</v>
      </c>
      <c r="L233" t="n">
        <v>0</v>
      </c>
      <c r="M233" t="n">
        <v>0</v>
      </c>
      <c r="N233" t="n">
        <v>0</v>
      </c>
      <c r="O233" t="n">
        <v>0</v>
      </c>
      <c r="P233" t="n">
        <v>0</v>
      </c>
      <c r="Q233" t="n">
        <v>0</v>
      </c>
      <c r="R233" s="2" t="inlineStr"/>
    </row>
    <row r="234" ht="15" customHeight="1">
      <c r="A234" t="inlineStr">
        <is>
          <t>A 31613-2023</t>
        </is>
      </c>
      <c r="B234" s="1" t="n">
        <v>45117</v>
      </c>
      <c r="C234" s="1" t="n">
        <v>45639</v>
      </c>
      <c r="D234" t="inlineStr">
        <is>
          <t>GÄVLEBORGS LÄN</t>
        </is>
      </c>
      <c r="E234" t="inlineStr">
        <is>
          <t>HOFORS</t>
        </is>
      </c>
      <c r="G234" t="n">
        <v>1.2</v>
      </c>
      <c r="H234" t="n">
        <v>0</v>
      </c>
      <c r="I234" t="n">
        <v>0</v>
      </c>
      <c r="J234" t="n">
        <v>0</v>
      </c>
      <c r="K234" t="n">
        <v>0</v>
      </c>
      <c r="L234" t="n">
        <v>0</v>
      </c>
      <c r="M234" t="n">
        <v>0</v>
      </c>
      <c r="N234" t="n">
        <v>0</v>
      </c>
      <c r="O234" t="n">
        <v>0</v>
      </c>
      <c r="P234" t="n">
        <v>0</v>
      </c>
      <c r="Q234" t="n">
        <v>0</v>
      </c>
      <c r="R234" s="2" t="inlineStr"/>
    </row>
    <row r="235" ht="15" customHeight="1">
      <c r="A235" t="inlineStr">
        <is>
          <t>A 31823-2023</t>
        </is>
      </c>
      <c r="B235" s="1" t="n">
        <v>45118</v>
      </c>
      <c r="C235" s="1" t="n">
        <v>45639</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31871-2023</t>
        </is>
      </c>
      <c r="B236" s="1" t="n">
        <v>45118</v>
      </c>
      <c r="C236" s="1" t="n">
        <v>45639</v>
      </c>
      <c r="D236" t="inlineStr">
        <is>
          <t>GÄVLEBORGS LÄN</t>
        </is>
      </c>
      <c r="E236" t="inlineStr">
        <is>
          <t>HOFORS</t>
        </is>
      </c>
      <c r="G236" t="n">
        <v>1</v>
      </c>
      <c r="H236" t="n">
        <v>0</v>
      </c>
      <c r="I236" t="n">
        <v>0</v>
      </c>
      <c r="J236" t="n">
        <v>0</v>
      </c>
      <c r="K236" t="n">
        <v>0</v>
      </c>
      <c r="L236" t="n">
        <v>0</v>
      </c>
      <c r="M236" t="n">
        <v>0</v>
      </c>
      <c r="N236" t="n">
        <v>0</v>
      </c>
      <c r="O236" t="n">
        <v>0</v>
      </c>
      <c r="P236" t="n">
        <v>0</v>
      </c>
      <c r="Q236" t="n">
        <v>0</v>
      </c>
      <c r="R236" s="2" t="inlineStr"/>
    </row>
    <row r="237" ht="15" customHeight="1">
      <c r="A237" t="inlineStr">
        <is>
          <t>A 33485-2023</t>
        </is>
      </c>
      <c r="B237" s="1" t="n">
        <v>45118</v>
      </c>
      <c r="C237" s="1" t="n">
        <v>45639</v>
      </c>
      <c r="D237" t="inlineStr">
        <is>
          <t>GÄVLEBORGS LÄN</t>
        </is>
      </c>
      <c r="E237" t="inlineStr">
        <is>
          <t>HOFORS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33483-2023</t>
        </is>
      </c>
      <c r="B238" s="1" t="n">
        <v>45118</v>
      </c>
      <c r="C238" s="1" t="n">
        <v>45639</v>
      </c>
      <c r="D238" t="inlineStr">
        <is>
          <t>GÄVLEBORGS LÄN</t>
        </is>
      </c>
      <c r="E238" t="inlineStr">
        <is>
          <t>HOFORS</t>
        </is>
      </c>
      <c r="F238" t="inlineStr">
        <is>
          <t>Bergvik skog väst AB</t>
        </is>
      </c>
      <c r="G238" t="n">
        <v>6.7</v>
      </c>
      <c r="H238" t="n">
        <v>0</v>
      </c>
      <c r="I238" t="n">
        <v>0</v>
      </c>
      <c r="J238" t="n">
        <v>0</v>
      </c>
      <c r="K238" t="n">
        <v>0</v>
      </c>
      <c r="L238" t="n">
        <v>0</v>
      </c>
      <c r="M238" t="n">
        <v>0</v>
      </c>
      <c r="N238" t="n">
        <v>0</v>
      </c>
      <c r="O238" t="n">
        <v>0</v>
      </c>
      <c r="P238" t="n">
        <v>0</v>
      </c>
      <c r="Q238" t="n">
        <v>0</v>
      </c>
      <c r="R238" s="2" t="inlineStr"/>
    </row>
    <row r="239" ht="15" customHeight="1">
      <c r="A239" t="inlineStr">
        <is>
          <t>A 33495-2023</t>
        </is>
      </c>
      <c r="B239" s="1" t="n">
        <v>45118</v>
      </c>
      <c r="C239" s="1" t="n">
        <v>45639</v>
      </c>
      <c r="D239" t="inlineStr">
        <is>
          <t>GÄVLEBORGS LÄN</t>
        </is>
      </c>
      <c r="E239" t="inlineStr">
        <is>
          <t>HOFORS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32980-2023</t>
        </is>
      </c>
      <c r="B240" s="1" t="n">
        <v>45125</v>
      </c>
      <c r="C240" s="1" t="n">
        <v>45639</v>
      </c>
      <c r="D240" t="inlineStr">
        <is>
          <t>GÄVLEBORGS LÄN</t>
        </is>
      </c>
      <c r="E240" t="inlineStr">
        <is>
          <t>HOFORS</t>
        </is>
      </c>
      <c r="G240" t="n">
        <v>0.7</v>
      </c>
      <c r="H240" t="n">
        <v>0</v>
      </c>
      <c r="I240" t="n">
        <v>0</v>
      </c>
      <c r="J240" t="n">
        <v>0</v>
      </c>
      <c r="K240" t="n">
        <v>0</v>
      </c>
      <c r="L240" t="n">
        <v>0</v>
      </c>
      <c r="M240" t="n">
        <v>0</v>
      </c>
      <c r="N240" t="n">
        <v>0</v>
      </c>
      <c r="O240" t="n">
        <v>0</v>
      </c>
      <c r="P240" t="n">
        <v>0</v>
      </c>
      <c r="Q240" t="n">
        <v>0</v>
      </c>
      <c r="R240" s="2" t="inlineStr"/>
    </row>
    <row r="241" ht="15" customHeight="1">
      <c r="A241" t="inlineStr">
        <is>
          <t>A 33296-2023</t>
        </is>
      </c>
      <c r="B241" s="1" t="n">
        <v>45127</v>
      </c>
      <c r="C241" s="1" t="n">
        <v>45639</v>
      </c>
      <c r="D241" t="inlineStr">
        <is>
          <t>GÄVLEBORGS LÄN</t>
        </is>
      </c>
      <c r="E241" t="inlineStr">
        <is>
          <t>HOFORS</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34232-2023</t>
        </is>
      </c>
      <c r="B242" s="1" t="n">
        <v>45127</v>
      </c>
      <c r="C242" s="1" t="n">
        <v>45639</v>
      </c>
      <c r="D242" t="inlineStr">
        <is>
          <t>GÄVLEBORGS LÄN</t>
        </is>
      </c>
      <c r="E242" t="inlineStr">
        <is>
          <t>HOFORS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34217-2023</t>
        </is>
      </c>
      <c r="B243" s="1" t="n">
        <v>45138</v>
      </c>
      <c r="C243" s="1" t="n">
        <v>45639</v>
      </c>
      <c r="D243" t="inlineStr">
        <is>
          <t>GÄVLEBORGS LÄN</t>
        </is>
      </c>
      <c r="E243" t="inlineStr">
        <is>
          <t>HOFORS</t>
        </is>
      </c>
      <c r="G243" t="n">
        <v>2</v>
      </c>
      <c r="H243" t="n">
        <v>0</v>
      </c>
      <c r="I243" t="n">
        <v>0</v>
      </c>
      <c r="J243" t="n">
        <v>0</v>
      </c>
      <c r="K243" t="n">
        <v>0</v>
      </c>
      <c r="L243" t="n">
        <v>0</v>
      </c>
      <c r="M243" t="n">
        <v>0</v>
      </c>
      <c r="N243" t="n">
        <v>0</v>
      </c>
      <c r="O243" t="n">
        <v>0</v>
      </c>
      <c r="P243" t="n">
        <v>0</v>
      </c>
      <c r="Q243" t="n">
        <v>0</v>
      </c>
      <c r="R243" s="2" t="inlineStr"/>
    </row>
    <row r="244" ht="15" customHeight="1">
      <c r="A244" t="inlineStr">
        <is>
          <t>A 34242-2023</t>
        </is>
      </c>
      <c r="B244" s="1" t="n">
        <v>45138</v>
      </c>
      <c r="C244" s="1" t="n">
        <v>45639</v>
      </c>
      <c r="D244" t="inlineStr">
        <is>
          <t>GÄVLEBORGS LÄN</t>
        </is>
      </c>
      <c r="E244" t="inlineStr">
        <is>
          <t>HOFORS</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34246-2023</t>
        </is>
      </c>
      <c r="B245" s="1" t="n">
        <v>45138</v>
      </c>
      <c r="C245" s="1" t="n">
        <v>45639</v>
      </c>
      <c r="D245" t="inlineStr">
        <is>
          <t>GÄVLEBORGS LÄN</t>
        </is>
      </c>
      <c r="E245" t="inlineStr">
        <is>
          <t>HOFORS</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34245-2023</t>
        </is>
      </c>
      <c r="B246" s="1" t="n">
        <v>45138</v>
      </c>
      <c r="C246" s="1" t="n">
        <v>45639</v>
      </c>
      <c r="D246" t="inlineStr">
        <is>
          <t>GÄVLEBORGS LÄN</t>
        </is>
      </c>
      <c r="E246" t="inlineStr">
        <is>
          <t>HOFORS</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34247-2023</t>
        </is>
      </c>
      <c r="B247" s="1" t="n">
        <v>45138</v>
      </c>
      <c r="C247" s="1" t="n">
        <v>45639</v>
      </c>
      <c r="D247" t="inlineStr">
        <is>
          <t>GÄVLEBORGS LÄN</t>
        </is>
      </c>
      <c r="E247" t="inlineStr">
        <is>
          <t>HOFORS</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35114-2023</t>
        </is>
      </c>
      <c r="B248" s="1" t="n">
        <v>45145</v>
      </c>
      <c r="C248" s="1" t="n">
        <v>45639</v>
      </c>
      <c r="D248" t="inlineStr">
        <is>
          <t>GÄVLEBORGS LÄN</t>
        </is>
      </c>
      <c r="E248" t="inlineStr">
        <is>
          <t>HOFORS</t>
        </is>
      </c>
      <c r="G248" t="n">
        <v>3</v>
      </c>
      <c r="H248" t="n">
        <v>0</v>
      </c>
      <c r="I248" t="n">
        <v>0</v>
      </c>
      <c r="J248" t="n">
        <v>0</v>
      </c>
      <c r="K248" t="n">
        <v>0</v>
      </c>
      <c r="L248" t="n">
        <v>0</v>
      </c>
      <c r="M248" t="n">
        <v>0</v>
      </c>
      <c r="N248" t="n">
        <v>0</v>
      </c>
      <c r="O248" t="n">
        <v>0</v>
      </c>
      <c r="P248" t="n">
        <v>0</v>
      </c>
      <c r="Q248" t="n">
        <v>0</v>
      </c>
      <c r="R248" s="2" t="inlineStr"/>
    </row>
    <row r="249" ht="15" customHeight="1">
      <c r="A249" t="inlineStr">
        <is>
          <t>A 35118-2023</t>
        </is>
      </c>
      <c r="B249" s="1" t="n">
        <v>45145</v>
      </c>
      <c r="C249" s="1" t="n">
        <v>45639</v>
      </c>
      <c r="D249" t="inlineStr">
        <is>
          <t>GÄVLEBORGS LÄN</t>
        </is>
      </c>
      <c r="E249" t="inlineStr">
        <is>
          <t>HOFORS</t>
        </is>
      </c>
      <c r="G249" t="n">
        <v>3.2</v>
      </c>
      <c r="H249" t="n">
        <v>0</v>
      </c>
      <c r="I249" t="n">
        <v>0</v>
      </c>
      <c r="J249" t="n">
        <v>0</v>
      </c>
      <c r="K249" t="n">
        <v>0</v>
      </c>
      <c r="L249" t="n">
        <v>0</v>
      </c>
      <c r="M249" t="n">
        <v>0</v>
      </c>
      <c r="N249" t="n">
        <v>0</v>
      </c>
      <c r="O249" t="n">
        <v>0</v>
      </c>
      <c r="P249" t="n">
        <v>0</v>
      </c>
      <c r="Q249" t="n">
        <v>0</v>
      </c>
      <c r="R249" s="2" t="inlineStr"/>
    </row>
    <row r="250" ht="15" customHeight="1">
      <c r="A250" t="inlineStr">
        <is>
          <t>A 35107-2023</t>
        </is>
      </c>
      <c r="B250" s="1" t="n">
        <v>45145</v>
      </c>
      <c r="C250" s="1" t="n">
        <v>45639</v>
      </c>
      <c r="D250" t="inlineStr">
        <is>
          <t>GÄVLEBORGS LÄN</t>
        </is>
      </c>
      <c r="E250" t="inlineStr">
        <is>
          <t>HOFORS</t>
        </is>
      </c>
      <c r="G250" t="n">
        <v>8.4</v>
      </c>
      <c r="H250" t="n">
        <v>0</v>
      </c>
      <c r="I250" t="n">
        <v>0</v>
      </c>
      <c r="J250" t="n">
        <v>0</v>
      </c>
      <c r="K250" t="n">
        <v>0</v>
      </c>
      <c r="L250" t="n">
        <v>0</v>
      </c>
      <c r="M250" t="n">
        <v>0</v>
      </c>
      <c r="N250" t="n">
        <v>0</v>
      </c>
      <c r="O250" t="n">
        <v>0</v>
      </c>
      <c r="P250" t="n">
        <v>0</v>
      </c>
      <c r="Q250" t="n">
        <v>0</v>
      </c>
      <c r="R250" s="2" t="inlineStr"/>
    </row>
    <row r="251" ht="15" customHeight="1">
      <c r="A251" t="inlineStr">
        <is>
          <t>A 35136-2023</t>
        </is>
      </c>
      <c r="B251" s="1" t="n">
        <v>45145</v>
      </c>
      <c r="C251" s="1" t="n">
        <v>45639</v>
      </c>
      <c r="D251" t="inlineStr">
        <is>
          <t>GÄVLEBORGS LÄN</t>
        </is>
      </c>
      <c r="E251" t="inlineStr">
        <is>
          <t>HOFORS</t>
        </is>
      </c>
      <c r="G251" t="n">
        <v>2</v>
      </c>
      <c r="H251" t="n">
        <v>0</v>
      </c>
      <c r="I251" t="n">
        <v>0</v>
      </c>
      <c r="J251" t="n">
        <v>0</v>
      </c>
      <c r="K251" t="n">
        <v>0</v>
      </c>
      <c r="L251" t="n">
        <v>0</v>
      </c>
      <c r="M251" t="n">
        <v>0</v>
      </c>
      <c r="N251" t="n">
        <v>0</v>
      </c>
      <c r="O251" t="n">
        <v>0</v>
      </c>
      <c r="P251" t="n">
        <v>0</v>
      </c>
      <c r="Q251" t="n">
        <v>0</v>
      </c>
      <c r="R251" s="2" t="inlineStr"/>
    </row>
    <row r="252" ht="15" customHeight="1">
      <c r="A252" t="inlineStr">
        <is>
          <t>A 35363-2023</t>
        </is>
      </c>
      <c r="B252" s="1" t="n">
        <v>45146</v>
      </c>
      <c r="C252" s="1" t="n">
        <v>45639</v>
      </c>
      <c r="D252" t="inlineStr">
        <is>
          <t>GÄVLEBORGS LÄN</t>
        </is>
      </c>
      <c r="E252" t="inlineStr">
        <is>
          <t>HOFORS</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35612-2023</t>
        </is>
      </c>
      <c r="B253" s="1" t="n">
        <v>45147</v>
      </c>
      <c r="C253" s="1" t="n">
        <v>45639</v>
      </c>
      <c r="D253" t="inlineStr">
        <is>
          <t>GÄVLEBORGS LÄN</t>
        </is>
      </c>
      <c r="E253" t="inlineStr">
        <is>
          <t>HOFORS</t>
        </is>
      </c>
      <c r="G253" t="n">
        <v>4.2</v>
      </c>
      <c r="H253" t="n">
        <v>0</v>
      </c>
      <c r="I253" t="n">
        <v>0</v>
      </c>
      <c r="J253" t="n">
        <v>0</v>
      </c>
      <c r="K253" t="n">
        <v>0</v>
      </c>
      <c r="L253" t="n">
        <v>0</v>
      </c>
      <c r="M253" t="n">
        <v>0</v>
      </c>
      <c r="N253" t="n">
        <v>0</v>
      </c>
      <c r="O253" t="n">
        <v>0</v>
      </c>
      <c r="P253" t="n">
        <v>0</v>
      </c>
      <c r="Q253" t="n">
        <v>0</v>
      </c>
      <c r="R253" s="2" t="inlineStr"/>
    </row>
    <row r="254" ht="15" customHeight="1">
      <c r="A254" t="inlineStr">
        <is>
          <t>A 35607-2023</t>
        </is>
      </c>
      <c r="B254" s="1" t="n">
        <v>45147</v>
      </c>
      <c r="C254" s="1" t="n">
        <v>45639</v>
      </c>
      <c r="D254" t="inlineStr">
        <is>
          <t>GÄVLEBORGS LÄN</t>
        </is>
      </c>
      <c r="E254" t="inlineStr">
        <is>
          <t>HOFORS</t>
        </is>
      </c>
      <c r="G254" t="n">
        <v>2.3</v>
      </c>
      <c r="H254" t="n">
        <v>0</v>
      </c>
      <c r="I254" t="n">
        <v>0</v>
      </c>
      <c r="J254" t="n">
        <v>0</v>
      </c>
      <c r="K254" t="n">
        <v>0</v>
      </c>
      <c r="L254" t="n">
        <v>0</v>
      </c>
      <c r="M254" t="n">
        <v>0</v>
      </c>
      <c r="N254" t="n">
        <v>0</v>
      </c>
      <c r="O254" t="n">
        <v>0</v>
      </c>
      <c r="P254" t="n">
        <v>0</v>
      </c>
      <c r="Q254" t="n">
        <v>0</v>
      </c>
      <c r="R254" s="2" t="inlineStr"/>
    </row>
    <row r="255" ht="15" customHeight="1">
      <c r="A255" t="inlineStr">
        <is>
          <t>A 35856-2023</t>
        </is>
      </c>
      <c r="B255" s="1" t="n">
        <v>45148</v>
      </c>
      <c r="C255" s="1" t="n">
        <v>45639</v>
      </c>
      <c r="D255" t="inlineStr">
        <is>
          <t>GÄVLEBORGS LÄN</t>
        </is>
      </c>
      <c r="E255" t="inlineStr">
        <is>
          <t>HOFORS</t>
        </is>
      </c>
      <c r="G255" t="n">
        <v>0.6</v>
      </c>
      <c r="H255" t="n">
        <v>0</v>
      </c>
      <c r="I255" t="n">
        <v>0</v>
      </c>
      <c r="J255" t="n">
        <v>0</v>
      </c>
      <c r="K255" t="n">
        <v>0</v>
      </c>
      <c r="L255" t="n">
        <v>0</v>
      </c>
      <c r="M255" t="n">
        <v>0</v>
      </c>
      <c r="N255" t="n">
        <v>0</v>
      </c>
      <c r="O255" t="n">
        <v>0</v>
      </c>
      <c r="P255" t="n">
        <v>0</v>
      </c>
      <c r="Q255" t="n">
        <v>0</v>
      </c>
      <c r="R255" s="2" t="inlineStr"/>
    </row>
    <row r="256" ht="15" customHeight="1">
      <c r="A256" t="inlineStr">
        <is>
          <t>A 37763-2023</t>
        </is>
      </c>
      <c r="B256" s="1" t="n">
        <v>45156</v>
      </c>
      <c r="C256" s="1" t="n">
        <v>45639</v>
      </c>
      <c r="D256" t="inlineStr">
        <is>
          <t>GÄVLEBORGS LÄN</t>
        </is>
      </c>
      <c r="E256" t="inlineStr">
        <is>
          <t>HOFORS</t>
        </is>
      </c>
      <c r="G256" t="n">
        <v>2.9</v>
      </c>
      <c r="H256" t="n">
        <v>0</v>
      </c>
      <c r="I256" t="n">
        <v>0</v>
      </c>
      <c r="J256" t="n">
        <v>0</v>
      </c>
      <c r="K256" t="n">
        <v>0</v>
      </c>
      <c r="L256" t="n">
        <v>0</v>
      </c>
      <c r="M256" t="n">
        <v>0</v>
      </c>
      <c r="N256" t="n">
        <v>0</v>
      </c>
      <c r="O256" t="n">
        <v>0</v>
      </c>
      <c r="P256" t="n">
        <v>0</v>
      </c>
      <c r="Q256" t="n">
        <v>0</v>
      </c>
      <c r="R256" s="2" t="inlineStr"/>
    </row>
    <row r="257" ht="15" customHeight="1">
      <c r="A257" t="inlineStr">
        <is>
          <t>A 37689-2023</t>
        </is>
      </c>
      <c r="B257" s="1" t="n">
        <v>45159</v>
      </c>
      <c r="C257" s="1" t="n">
        <v>45639</v>
      </c>
      <c r="D257" t="inlineStr">
        <is>
          <t>GÄVLEBORGS LÄN</t>
        </is>
      </c>
      <c r="E257" t="inlineStr">
        <is>
          <t>HOFORS</t>
        </is>
      </c>
      <c r="G257" t="n">
        <v>2.2</v>
      </c>
      <c r="H257" t="n">
        <v>0</v>
      </c>
      <c r="I257" t="n">
        <v>0</v>
      </c>
      <c r="J257" t="n">
        <v>0</v>
      </c>
      <c r="K257" t="n">
        <v>0</v>
      </c>
      <c r="L257" t="n">
        <v>0</v>
      </c>
      <c r="M257" t="n">
        <v>0</v>
      </c>
      <c r="N257" t="n">
        <v>0</v>
      </c>
      <c r="O257" t="n">
        <v>0</v>
      </c>
      <c r="P257" t="n">
        <v>0</v>
      </c>
      <c r="Q257" t="n">
        <v>0</v>
      </c>
      <c r="R257" s="2" t="inlineStr"/>
    </row>
    <row r="258" ht="15" customHeight="1">
      <c r="A258" t="inlineStr">
        <is>
          <t>A 37693-2023</t>
        </is>
      </c>
      <c r="B258" s="1" t="n">
        <v>45159</v>
      </c>
      <c r="C258" s="1" t="n">
        <v>45639</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41020-2023</t>
        </is>
      </c>
      <c r="B259" s="1" t="n">
        <v>45173</v>
      </c>
      <c r="C259" s="1" t="n">
        <v>45639</v>
      </c>
      <c r="D259" t="inlineStr">
        <is>
          <t>GÄVLEBORGS LÄN</t>
        </is>
      </c>
      <c r="E259" t="inlineStr">
        <is>
          <t>HOFORS</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42020-2023</t>
        </is>
      </c>
      <c r="B260" s="1" t="n">
        <v>45177</v>
      </c>
      <c r="C260" s="1" t="n">
        <v>45639</v>
      </c>
      <c r="D260" t="inlineStr">
        <is>
          <t>GÄVLEBORGS LÄN</t>
        </is>
      </c>
      <c r="E260" t="inlineStr">
        <is>
          <t>HOFORS</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43318-2023</t>
        </is>
      </c>
      <c r="B261" s="1" t="n">
        <v>45183</v>
      </c>
      <c r="C261" s="1" t="n">
        <v>45639</v>
      </c>
      <c r="D261" t="inlineStr">
        <is>
          <t>GÄVLEBORGS LÄN</t>
        </is>
      </c>
      <c r="E261" t="inlineStr">
        <is>
          <t>HOFORS</t>
        </is>
      </c>
      <c r="G261" t="n">
        <v>1.6</v>
      </c>
      <c r="H261" t="n">
        <v>0</v>
      </c>
      <c r="I261" t="n">
        <v>0</v>
      </c>
      <c r="J261" t="n">
        <v>0</v>
      </c>
      <c r="K261" t="n">
        <v>0</v>
      </c>
      <c r="L261" t="n">
        <v>0</v>
      </c>
      <c r="M261" t="n">
        <v>0</v>
      </c>
      <c r="N261" t="n">
        <v>0</v>
      </c>
      <c r="O261" t="n">
        <v>0</v>
      </c>
      <c r="P261" t="n">
        <v>0</v>
      </c>
      <c r="Q261" t="n">
        <v>0</v>
      </c>
      <c r="R261" s="2" t="inlineStr"/>
    </row>
    <row r="262" ht="15" customHeight="1">
      <c r="A262" t="inlineStr">
        <is>
          <t>A 43726-2023</t>
        </is>
      </c>
      <c r="B262" s="1" t="n">
        <v>45187</v>
      </c>
      <c r="C262" s="1" t="n">
        <v>45639</v>
      </c>
      <c r="D262" t="inlineStr">
        <is>
          <t>GÄVLEBORGS LÄN</t>
        </is>
      </c>
      <c r="E262" t="inlineStr">
        <is>
          <t>HOFORS</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43730-2023</t>
        </is>
      </c>
      <c r="B263" s="1" t="n">
        <v>45187</v>
      </c>
      <c r="C263" s="1" t="n">
        <v>45639</v>
      </c>
      <c r="D263" t="inlineStr">
        <is>
          <t>GÄVLEBORGS LÄN</t>
        </is>
      </c>
      <c r="E263" t="inlineStr">
        <is>
          <t>HOFORS</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44356-2023</t>
        </is>
      </c>
      <c r="B264" s="1" t="n">
        <v>45188</v>
      </c>
      <c r="C264" s="1" t="n">
        <v>45639</v>
      </c>
      <c r="D264" t="inlineStr">
        <is>
          <t>GÄVLEBORGS LÄN</t>
        </is>
      </c>
      <c r="E264" t="inlineStr">
        <is>
          <t>HOFORS</t>
        </is>
      </c>
      <c r="G264" t="n">
        <v>2.1</v>
      </c>
      <c r="H264" t="n">
        <v>0</v>
      </c>
      <c r="I264" t="n">
        <v>0</v>
      </c>
      <c r="J264" t="n">
        <v>0</v>
      </c>
      <c r="K264" t="n">
        <v>0</v>
      </c>
      <c r="L264" t="n">
        <v>0</v>
      </c>
      <c r="M264" t="n">
        <v>0</v>
      </c>
      <c r="N264" t="n">
        <v>0</v>
      </c>
      <c r="O264" t="n">
        <v>0</v>
      </c>
      <c r="P264" t="n">
        <v>0</v>
      </c>
      <c r="Q264" t="n">
        <v>0</v>
      </c>
      <c r="R264" s="2" t="inlineStr"/>
    </row>
    <row r="265" ht="15" customHeight="1">
      <c r="A265" t="inlineStr">
        <is>
          <t>A 47284-2023</t>
        </is>
      </c>
      <c r="B265" s="1" t="n">
        <v>45202</v>
      </c>
      <c r="C265" s="1" t="n">
        <v>45639</v>
      </c>
      <c r="D265" t="inlineStr">
        <is>
          <t>GÄVLEBORGS LÄN</t>
        </is>
      </c>
      <c r="E265" t="inlineStr">
        <is>
          <t>HOFORS</t>
        </is>
      </c>
      <c r="G265" t="n">
        <v>1</v>
      </c>
      <c r="H265" t="n">
        <v>0</v>
      </c>
      <c r="I265" t="n">
        <v>0</v>
      </c>
      <c r="J265" t="n">
        <v>0</v>
      </c>
      <c r="K265" t="n">
        <v>0</v>
      </c>
      <c r="L265" t="n">
        <v>0</v>
      </c>
      <c r="M265" t="n">
        <v>0</v>
      </c>
      <c r="N265" t="n">
        <v>0</v>
      </c>
      <c r="O265" t="n">
        <v>0</v>
      </c>
      <c r="P265" t="n">
        <v>0</v>
      </c>
      <c r="Q265" t="n">
        <v>0</v>
      </c>
      <c r="R265" s="2" t="inlineStr"/>
    </row>
    <row r="266" ht="15" customHeight="1">
      <c r="A266" t="inlineStr">
        <is>
          <t>A 51337-2023</t>
        </is>
      </c>
      <c r="B266" s="1" t="n">
        <v>45219</v>
      </c>
      <c r="C266" s="1" t="n">
        <v>45639</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52934-2023</t>
        </is>
      </c>
      <c r="B267" s="1" t="n">
        <v>45226</v>
      </c>
      <c r="C267" s="1" t="n">
        <v>45639</v>
      </c>
      <c r="D267" t="inlineStr">
        <is>
          <t>GÄVLEBORGS LÄN</t>
        </is>
      </c>
      <c r="E267" t="inlineStr">
        <is>
          <t>HOFORS</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54149-2023</t>
        </is>
      </c>
      <c r="B268" s="1" t="n">
        <v>45232</v>
      </c>
      <c r="C268" s="1" t="n">
        <v>45639</v>
      </c>
      <c r="D268" t="inlineStr">
        <is>
          <t>GÄVLEBORGS LÄN</t>
        </is>
      </c>
      <c r="E268" t="inlineStr">
        <is>
          <t>HOFORS</t>
        </is>
      </c>
      <c r="G268" t="n">
        <v>4.6</v>
      </c>
      <c r="H268" t="n">
        <v>0</v>
      </c>
      <c r="I268" t="n">
        <v>0</v>
      </c>
      <c r="J268" t="n">
        <v>0</v>
      </c>
      <c r="K268" t="n">
        <v>0</v>
      </c>
      <c r="L268" t="n">
        <v>0</v>
      </c>
      <c r="M268" t="n">
        <v>0</v>
      </c>
      <c r="N268" t="n">
        <v>0</v>
      </c>
      <c r="O268" t="n">
        <v>0</v>
      </c>
      <c r="P268" t="n">
        <v>0</v>
      </c>
      <c r="Q268" t="n">
        <v>0</v>
      </c>
      <c r="R268" s="2" t="inlineStr"/>
    </row>
    <row r="269" ht="15" customHeight="1">
      <c r="A269" t="inlineStr">
        <is>
          <t>A 56162-2023</t>
        </is>
      </c>
      <c r="B269" s="1" t="n">
        <v>45240</v>
      </c>
      <c r="C269" s="1" t="n">
        <v>45639</v>
      </c>
      <c r="D269" t="inlineStr">
        <is>
          <t>GÄVLEBORGS LÄN</t>
        </is>
      </c>
      <c r="E269" t="inlineStr">
        <is>
          <t>HOFORS</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56156-2023</t>
        </is>
      </c>
      <c r="B270" s="1" t="n">
        <v>45240</v>
      </c>
      <c r="C270" s="1" t="n">
        <v>45639</v>
      </c>
      <c r="D270" t="inlineStr">
        <is>
          <t>GÄVLEBORGS LÄN</t>
        </is>
      </c>
      <c r="E270" t="inlineStr">
        <is>
          <t>HOFORS</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56117-2023</t>
        </is>
      </c>
      <c r="B271" s="1" t="n">
        <v>45240</v>
      </c>
      <c r="C271" s="1" t="n">
        <v>45639</v>
      </c>
      <c r="D271" t="inlineStr">
        <is>
          <t>GÄVLEBORGS LÄN</t>
        </is>
      </c>
      <c r="E271" t="inlineStr">
        <is>
          <t>HOFORS</t>
        </is>
      </c>
      <c r="G271" t="n">
        <v>2.5</v>
      </c>
      <c r="H271" t="n">
        <v>0</v>
      </c>
      <c r="I271" t="n">
        <v>0</v>
      </c>
      <c r="J271" t="n">
        <v>0</v>
      </c>
      <c r="K271" t="n">
        <v>0</v>
      </c>
      <c r="L271" t="n">
        <v>0</v>
      </c>
      <c r="M271" t="n">
        <v>0</v>
      </c>
      <c r="N271" t="n">
        <v>0</v>
      </c>
      <c r="O271" t="n">
        <v>0</v>
      </c>
      <c r="P271" t="n">
        <v>0</v>
      </c>
      <c r="Q271" t="n">
        <v>0</v>
      </c>
      <c r="R271" s="2" t="inlineStr"/>
    </row>
    <row r="272" ht="15" customHeight="1">
      <c r="A272" t="inlineStr">
        <is>
          <t>A 58369-2023</t>
        </is>
      </c>
      <c r="B272" s="1" t="n">
        <v>45250</v>
      </c>
      <c r="C272" s="1" t="n">
        <v>45639</v>
      </c>
      <c r="D272" t="inlineStr">
        <is>
          <t>GÄVLEBORGS LÄN</t>
        </is>
      </c>
      <c r="E272" t="inlineStr">
        <is>
          <t>HOFORS</t>
        </is>
      </c>
      <c r="G272" t="n">
        <v>2.1</v>
      </c>
      <c r="H272" t="n">
        <v>0</v>
      </c>
      <c r="I272" t="n">
        <v>0</v>
      </c>
      <c r="J272" t="n">
        <v>0</v>
      </c>
      <c r="K272" t="n">
        <v>0</v>
      </c>
      <c r="L272" t="n">
        <v>0</v>
      </c>
      <c r="M272" t="n">
        <v>0</v>
      </c>
      <c r="N272" t="n">
        <v>0</v>
      </c>
      <c r="O272" t="n">
        <v>0</v>
      </c>
      <c r="P272" t="n">
        <v>0</v>
      </c>
      <c r="Q272" t="n">
        <v>0</v>
      </c>
      <c r="R272" s="2" t="inlineStr"/>
    </row>
    <row r="273" ht="15" customHeight="1">
      <c r="A273" t="inlineStr">
        <is>
          <t>A 58373-2023</t>
        </is>
      </c>
      <c r="B273" s="1" t="n">
        <v>45250</v>
      </c>
      <c r="C273" s="1" t="n">
        <v>45639</v>
      </c>
      <c r="D273" t="inlineStr">
        <is>
          <t>GÄVLEBORGS LÄN</t>
        </is>
      </c>
      <c r="E273" t="inlineStr">
        <is>
          <t>HOFORS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58955-2023</t>
        </is>
      </c>
      <c r="B274" s="1" t="n">
        <v>45252</v>
      </c>
      <c r="C274" s="1" t="n">
        <v>45639</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59009-2023</t>
        </is>
      </c>
      <c r="B275" s="1" t="n">
        <v>45252</v>
      </c>
      <c r="C275" s="1" t="n">
        <v>45639</v>
      </c>
      <c r="D275" t="inlineStr">
        <is>
          <t>GÄVLEBORGS LÄN</t>
        </is>
      </c>
      <c r="E275" t="inlineStr">
        <is>
          <t>HOFORS</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59002-2023</t>
        </is>
      </c>
      <c r="B276" s="1" t="n">
        <v>45252</v>
      </c>
      <c r="C276" s="1" t="n">
        <v>45639</v>
      </c>
      <c r="D276" t="inlineStr">
        <is>
          <t>GÄVLEBORGS LÄN</t>
        </is>
      </c>
      <c r="E276" t="inlineStr">
        <is>
          <t>HOFORS</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59007-2023</t>
        </is>
      </c>
      <c r="B277" s="1" t="n">
        <v>45252</v>
      </c>
      <c r="C277" s="1" t="n">
        <v>45639</v>
      </c>
      <c r="D277" t="inlineStr">
        <is>
          <t>GÄVLEBORGS LÄN</t>
        </is>
      </c>
      <c r="E277" t="inlineStr">
        <is>
          <t>HOFORS</t>
        </is>
      </c>
      <c r="F277" t="inlineStr">
        <is>
          <t>Sveaskog</t>
        </is>
      </c>
      <c r="G277" t="n">
        <v>17.7</v>
      </c>
      <c r="H277" t="n">
        <v>0</v>
      </c>
      <c r="I277" t="n">
        <v>0</v>
      </c>
      <c r="J277" t="n">
        <v>0</v>
      </c>
      <c r="K277" t="n">
        <v>0</v>
      </c>
      <c r="L277" t="n">
        <v>0</v>
      </c>
      <c r="M277" t="n">
        <v>0</v>
      </c>
      <c r="N277" t="n">
        <v>0</v>
      </c>
      <c r="O277" t="n">
        <v>0</v>
      </c>
      <c r="P277" t="n">
        <v>0</v>
      </c>
      <c r="Q277" t="n">
        <v>0</v>
      </c>
      <c r="R277" s="2" t="inlineStr"/>
    </row>
    <row r="278" ht="15" customHeight="1">
      <c r="A278" t="inlineStr">
        <is>
          <t>A 59001-2023</t>
        </is>
      </c>
      <c r="B278" s="1" t="n">
        <v>45252</v>
      </c>
      <c r="C278" s="1" t="n">
        <v>45639</v>
      </c>
      <c r="D278" t="inlineStr">
        <is>
          <t>GÄVLEBORGS LÄN</t>
        </is>
      </c>
      <c r="E278" t="inlineStr">
        <is>
          <t>HOFORS</t>
        </is>
      </c>
      <c r="F278" t="inlineStr">
        <is>
          <t>Sveaskog</t>
        </is>
      </c>
      <c r="G278" t="n">
        <v>8.9</v>
      </c>
      <c r="H278" t="n">
        <v>0</v>
      </c>
      <c r="I278" t="n">
        <v>0</v>
      </c>
      <c r="J278" t="n">
        <v>0</v>
      </c>
      <c r="K278" t="n">
        <v>0</v>
      </c>
      <c r="L278" t="n">
        <v>0</v>
      </c>
      <c r="M278" t="n">
        <v>0</v>
      </c>
      <c r="N278" t="n">
        <v>0</v>
      </c>
      <c r="O278" t="n">
        <v>0</v>
      </c>
      <c r="P278" t="n">
        <v>0</v>
      </c>
      <c r="Q278" t="n">
        <v>0</v>
      </c>
      <c r="R278" s="2" t="inlineStr"/>
    </row>
    <row r="279" ht="15" customHeight="1">
      <c r="A279" t="inlineStr">
        <is>
          <t>A 59615-2023</t>
        </is>
      </c>
      <c r="B279" s="1" t="n">
        <v>45254</v>
      </c>
      <c r="C279" s="1" t="n">
        <v>45639</v>
      </c>
      <c r="D279" t="inlineStr">
        <is>
          <t>GÄVLEBORGS LÄN</t>
        </is>
      </c>
      <c r="E279" t="inlineStr">
        <is>
          <t>HOFORS</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59882-2023</t>
        </is>
      </c>
      <c r="B280" s="1" t="n">
        <v>45257</v>
      </c>
      <c r="C280" s="1" t="n">
        <v>45639</v>
      </c>
      <c r="D280" t="inlineStr">
        <is>
          <t>GÄVLEBORGS LÄN</t>
        </is>
      </c>
      <c r="E280" t="inlineStr">
        <is>
          <t>HOFORS</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59886-2023</t>
        </is>
      </c>
      <c r="B281" s="1" t="n">
        <v>45257</v>
      </c>
      <c r="C281" s="1" t="n">
        <v>45639</v>
      </c>
      <c r="D281" t="inlineStr">
        <is>
          <t>GÄVLEBORGS LÄN</t>
        </is>
      </c>
      <c r="E281" t="inlineStr">
        <is>
          <t>HOFORS</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60610-2023</t>
        </is>
      </c>
      <c r="B282" s="1" t="n">
        <v>45260</v>
      </c>
      <c r="C282" s="1" t="n">
        <v>45639</v>
      </c>
      <c r="D282" t="inlineStr">
        <is>
          <t>GÄVLEBORGS LÄN</t>
        </is>
      </c>
      <c r="E282" t="inlineStr">
        <is>
          <t>HOFORS</t>
        </is>
      </c>
      <c r="G282" t="n">
        <v>3.3</v>
      </c>
      <c r="H282" t="n">
        <v>0</v>
      </c>
      <c r="I282" t="n">
        <v>0</v>
      </c>
      <c r="J282" t="n">
        <v>0</v>
      </c>
      <c r="K282" t="n">
        <v>0</v>
      </c>
      <c r="L282" t="n">
        <v>0</v>
      </c>
      <c r="M282" t="n">
        <v>0</v>
      </c>
      <c r="N282" t="n">
        <v>0</v>
      </c>
      <c r="O282" t="n">
        <v>0</v>
      </c>
      <c r="P282" t="n">
        <v>0</v>
      </c>
      <c r="Q282" t="n">
        <v>0</v>
      </c>
      <c r="R282" s="2" t="inlineStr"/>
    </row>
    <row r="283" ht="15" customHeight="1">
      <c r="A283" t="inlineStr">
        <is>
          <t>A 60705-2023</t>
        </is>
      </c>
      <c r="B283" s="1" t="n">
        <v>45260</v>
      </c>
      <c r="C283" s="1" t="n">
        <v>45639</v>
      </c>
      <c r="D283" t="inlineStr">
        <is>
          <t>GÄVLEBORGS LÄN</t>
        </is>
      </c>
      <c r="E283" t="inlineStr">
        <is>
          <t>HOFORS</t>
        </is>
      </c>
      <c r="G283" t="n">
        <v>3.1</v>
      </c>
      <c r="H283" t="n">
        <v>0</v>
      </c>
      <c r="I283" t="n">
        <v>0</v>
      </c>
      <c r="J283" t="n">
        <v>0</v>
      </c>
      <c r="K283" t="n">
        <v>0</v>
      </c>
      <c r="L283" t="n">
        <v>0</v>
      </c>
      <c r="M283" t="n">
        <v>0</v>
      </c>
      <c r="N283" t="n">
        <v>0</v>
      </c>
      <c r="O283" t="n">
        <v>0</v>
      </c>
      <c r="P283" t="n">
        <v>0</v>
      </c>
      <c r="Q283" t="n">
        <v>0</v>
      </c>
      <c r="R283" s="2" t="inlineStr"/>
    </row>
    <row r="284" ht="15" customHeight="1">
      <c r="A284" t="inlineStr">
        <is>
          <t>A 61325-2023</t>
        </is>
      </c>
      <c r="B284" s="1" t="n">
        <v>45264</v>
      </c>
      <c r="C284" s="1" t="n">
        <v>45639</v>
      </c>
      <c r="D284" t="inlineStr">
        <is>
          <t>GÄVLEBORGS LÄN</t>
        </is>
      </c>
      <c r="E284" t="inlineStr">
        <is>
          <t>HOFORS</t>
        </is>
      </c>
      <c r="G284" t="n">
        <v>1.4</v>
      </c>
      <c r="H284" t="n">
        <v>0</v>
      </c>
      <c r="I284" t="n">
        <v>0</v>
      </c>
      <c r="J284" t="n">
        <v>0</v>
      </c>
      <c r="K284" t="n">
        <v>0</v>
      </c>
      <c r="L284" t="n">
        <v>0</v>
      </c>
      <c r="M284" t="n">
        <v>0</v>
      </c>
      <c r="N284" t="n">
        <v>0</v>
      </c>
      <c r="O284" t="n">
        <v>0</v>
      </c>
      <c r="P284" t="n">
        <v>0</v>
      </c>
      <c r="Q284" t="n">
        <v>0</v>
      </c>
      <c r="R284" s="2" t="inlineStr"/>
    </row>
    <row r="285" ht="15" customHeight="1">
      <c r="A285" t="inlineStr">
        <is>
          <t>A 62293-2023</t>
        </is>
      </c>
      <c r="B285" s="1" t="n">
        <v>45267</v>
      </c>
      <c r="C285" s="1" t="n">
        <v>45639</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62567-2023</t>
        </is>
      </c>
      <c r="B286" s="1" t="n">
        <v>45269</v>
      </c>
      <c r="C286" s="1" t="n">
        <v>45639</v>
      </c>
      <c r="D286" t="inlineStr">
        <is>
          <t>GÄVLEBORGS LÄN</t>
        </is>
      </c>
      <c r="E286" t="inlineStr">
        <is>
          <t>HOFORS</t>
        </is>
      </c>
      <c r="G286" t="n">
        <v>4.5</v>
      </c>
      <c r="H286" t="n">
        <v>0</v>
      </c>
      <c r="I286" t="n">
        <v>0</v>
      </c>
      <c r="J286" t="n">
        <v>0</v>
      </c>
      <c r="K286" t="n">
        <v>0</v>
      </c>
      <c r="L286" t="n">
        <v>0</v>
      </c>
      <c r="M286" t="n">
        <v>0</v>
      </c>
      <c r="N286" t="n">
        <v>0</v>
      </c>
      <c r="O286" t="n">
        <v>0</v>
      </c>
      <c r="P286" t="n">
        <v>0</v>
      </c>
      <c r="Q286" t="n">
        <v>0</v>
      </c>
      <c r="R286" s="2" t="inlineStr"/>
    </row>
    <row r="287" ht="15" customHeight="1">
      <c r="A287" t="inlineStr">
        <is>
          <t>A 62596-2023</t>
        </is>
      </c>
      <c r="B287" s="1" t="n">
        <v>45271</v>
      </c>
      <c r="C287" s="1" t="n">
        <v>45639</v>
      </c>
      <c r="D287" t="inlineStr">
        <is>
          <t>GÄVLEBORGS LÄN</t>
        </is>
      </c>
      <c r="E287" t="inlineStr">
        <is>
          <t>HOFORS</t>
        </is>
      </c>
      <c r="G287" t="n">
        <v>3.6</v>
      </c>
      <c r="H287" t="n">
        <v>0</v>
      </c>
      <c r="I287" t="n">
        <v>0</v>
      </c>
      <c r="J287" t="n">
        <v>0</v>
      </c>
      <c r="K287" t="n">
        <v>0</v>
      </c>
      <c r="L287" t="n">
        <v>0</v>
      </c>
      <c r="M287" t="n">
        <v>0</v>
      </c>
      <c r="N287" t="n">
        <v>0</v>
      </c>
      <c r="O287" t="n">
        <v>0</v>
      </c>
      <c r="P287" t="n">
        <v>0</v>
      </c>
      <c r="Q287" t="n">
        <v>0</v>
      </c>
      <c r="R287" s="2" t="inlineStr"/>
    </row>
    <row r="288" ht="15" customHeight="1">
      <c r="A288" t="inlineStr">
        <is>
          <t>A 64359-2023</t>
        </is>
      </c>
      <c r="B288" s="1" t="n">
        <v>45280</v>
      </c>
      <c r="C288" s="1" t="n">
        <v>45639</v>
      </c>
      <c r="D288" t="inlineStr">
        <is>
          <t>GÄVLEBORGS LÄN</t>
        </is>
      </c>
      <c r="E288" t="inlineStr">
        <is>
          <t>HOFORS</t>
        </is>
      </c>
      <c r="G288" t="n">
        <v>4.7</v>
      </c>
      <c r="H288" t="n">
        <v>0</v>
      </c>
      <c r="I288" t="n">
        <v>0</v>
      </c>
      <c r="J288" t="n">
        <v>0</v>
      </c>
      <c r="K288" t="n">
        <v>0</v>
      </c>
      <c r="L288" t="n">
        <v>0</v>
      </c>
      <c r="M288" t="n">
        <v>0</v>
      </c>
      <c r="N288" t="n">
        <v>0</v>
      </c>
      <c r="O288" t="n">
        <v>0</v>
      </c>
      <c r="P288" t="n">
        <v>0</v>
      </c>
      <c r="Q288" t="n">
        <v>0</v>
      </c>
      <c r="R288" s="2" t="inlineStr"/>
    </row>
    <row r="289" ht="15" customHeight="1">
      <c r="A289" t="inlineStr">
        <is>
          <t>A 64629-2023</t>
        </is>
      </c>
      <c r="B289" s="1" t="n">
        <v>45281</v>
      </c>
      <c r="C289" s="1" t="n">
        <v>45639</v>
      </c>
      <c r="D289" t="inlineStr">
        <is>
          <t>GÄVLEBORGS LÄN</t>
        </is>
      </c>
      <c r="E289" t="inlineStr">
        <is>
          <t>HOFORS</t>
        </is>
      </c>
      <c r="G289" t="n">
        <v>5.1</v>
      </c>
      <c r="H289" t="n">
        <v>0</v>
      </c>
      <c r="I289" t="n">
        <v>0</v>
      </c>
      <c r="J289" t="n">
        <v>0</v>
      </c>
      <c r="K289" t="n">
        <v>0</v>
      </c>
      <c r="L289" t="n">
        <v>0</v>
      </c>
      <c r="M289" t="n">
        <v>0</v>
      </c>
      <c r="N289" t="n">
        <v>0</v>
      </c>
      <c r="O289" t="n">
        <v>0</v>
      </c>
      <c r="P289" t="n">
        <v>0</v>
      </c>
      <c r="Q289" t="n">
        <v>0</v>
      </c>
      <c r="R289" s="2" t="inlineStr"/>
    </row>
    <row r="290" ht="15" customHeight="1">
      <c r="A290" t="inlineStr">
        <is>
          <t>A 118-2024</t>
        </is>
      </c>
      <c r="B290" s="1" t="n">
        <v>45294</v>
      </c>
      <c r="C290" s="1" t="n">
        <v>45639</v>
      </c>
      <c r="D290" t="inlineStr">
        <is>
          <t>GÄVLEBORGS LÄN</t>
        </is>
      </c>
      <c r="E290" t="inlineStr">
        <is>
          <t>HOFORS</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127-2024</t>
        </is>
      </c>
      <c r="B291" s="1" t="n">
        <v>45294</v>
      </c>
      <c r="C291" s="1" t="n">
        <v>45639</v>
      </c>
      <c r="D291" t="inlineStr">
        <is>
          <t>GÄVLEBORGS LÄN</t>
        </is>
      </c>
      <c r="E291" t="inlineStr">
        <is>
          <t>HOFORS</t>
        </is>
      </c>
      <c r="F291" t="inlineStr">
        <is>
          <t>Sveaskog</t>
        </is>
      </c>
      <c r="G291" t="n">
        <v>20.4</v>
      </c>
      <c r="H291" t="n">
        <v>0</v>
      </c>
      <c r="I291" t="n">
        <v>0</v>
      </c>
      <c r="J291" t="n">
        <v>0</v>
      </c>
      <c r="K291" t="n">
        <v>0</v>
      </c>
      <c r="L291" t="n">
        <v>0</v>
      </c>
      <c r="M291" t="n">
        <v>0</v>
      </c>
      <c r="N291" t="n">
        <v>0</v>
      </c>
      <c r="O291" t="n">
        <v>0</v>
      </c>
      <c r="P291" t="n">
        <v>0</v>
      </c>
      <c r="Q291" t="n">
        <v>0</v>
      </c>
      <c r="R291" s="2" t="inlineStr"/>
    </row>
    <row r="292" ht="15" customHeight="1">
      <c r="A292" t="inlineStr">
        <is>
          <t>A 1151-2024</t>
        </is>
      </c>
      <c r="B292" s="1" t="n">
        <v>45302</v>
      </c>
      <c r="C292" s="1" t="n">
        <v>45639</v>
      </c>
      <c r="D292" t="inlineStr">
        <is>
          <t>GÄVLEBORGS LÄN</t>
        </is>
      </c>
      <c r="E292" t="inlineStr">
        <is>
          <t>HOFORS</t>
        </is>
      </c>
      <c r="G292" t="n">
        <v>1.3</v>
      </c>
      <c r="H292" t="n">
        <v>0</v>
      </c>
      <c r="I292" t="n">
        <v>0</v>
      </c>
      <c r="J292" t="n">
        <v>0</v>
      </c>
      <c r="K292" t="n">
        <v>0</v>
      </c>
      <c r="L292" t="n">
        <v>0</v>
      </c>
      <c r="M292" t="n">
        <v>0</v>
      </c>
      <c r="N292" t="n">
        <v>0</v>
      </c>
      <c r="O292" t="n">
        <v>0</v>
      </c>
      <c r="P292" t="n">
        <v>0</v>
      </c>
      <c r="Q292" t="n">
        <v>0</v>
      </c>
      <c r="R292" s="2" t="inlineStr"/>
    </row>
    <row r="293" ht="15" customHeight="1">
      <c r="A293" t="inlineStr">
        <is>
          <t>A 1155-2024</t>
        </is>
      </c>
      <c r="B293" s="1" t="n">
        <v>45302</v>
      </c>
      <c r="C293" s="1" t="n">
        <v>45639</v>
      </c>
      <c r="D293" t="inlineStr">
        <is>
          <t>GÄVLEBORGS LÄN</t>
        </is>
      </c>
      <c r="E293" t="inlineStr">
        <is>
          <t>HOFORS</t>
        </is>
      </c>
      <c r="G293" t="n">
        <v>1.9</v>
      </c>
      <c r="H293" t="n">
        <v>0</v>
      </c>
      <c r="I293" t="n">
        <v>0</v>
      </c>
      <c r="J293" t="n">
        <v>0</v>
      </c>
      <c r="K293" t="n">
        <v>0</v>
      </c>
      <c r="L293" t="n">
        <v>0</v>
      </c>
      <c r="M293" t="n">
        <v>0</v>
      </c>
      <c r="N293" t="n">
        <v>0</v>
      </c>
      <c r="O293" t="n">
        <v>0</v>
      </c>
      <c r="P293" t="n">
        <v>0</v>
      </c>
      <c r="Q293" t="n">
        <v>0</v>
      </c>
      <c r="R293" s="2" t="inlineStr"/>
    </row>
    <row r="294" ht="15" customHeight="1">
      <c r="A294" t="inlineStr">
        <is>
          <t>A 1149-2024</t>
        </is>
      </c>
      <c r="B294" s="1" t="n">
        <v>45302</v>
      </c>
      <c r="C294" s="1" t="n">
        <v>45639</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1144-2024</t>
        </is>
      </c>
      <c r="B295" s="1" t="n">
        <v>45302</v>
      </c>
      <c r="C295" s="1" t="n">
        <v>45639</v>
      </c>
      <c r="D295" t="inlineStr">
        <is>
          <t>GÄVLEBORGS LÄN</t>
        </is>
      </c>
      <c r="E295" t="inlineStr">
        <is>
          <t>HOFORS</t>
        </is>
      </c>
      <c r="G295" t="n">
        <v>0.9</v>
      </c>
      <c r="H295" t="n">
        <v>0</v>
      </c>
      <c r="I295" t="n">
        <v>0</v>
      </c>
      <c r="J295" t="n">
        <v>0</v>
      </c>
      <c r="K295" t="n">
        <v>0</v>
      </c>
      <c r="L295" t="n">
        <v>0</v>
      </c>
      <c r="M295" t="n">
        <v>0</v>
      </c>
      <c r="N295" t="n">
        <v>0</v>
      </c>
      <c r="O295" t="n">
        <v>0</v>
      </c>
      <c r="P295" t="n">
        <v>0</v>
      </c>
      <c r="Q295" t="n">
        <v>0</v>
      </c>
      <c r="R295" s="2" t="inlineStr"/>
    </row>
    <row r="296" ht="15" customHeight="1">
      <c r="A296" t="inlineStr">
        <is>
          <t>A 1606-2024</t>
        </is>
      </c>
      <c r="B296" s="1" t="n">
        <v>45306</v>
      </c>
      <c r="C296" s="1" t="n">
        <v>45639</v>
      </c>
      <c r="D296" t="inlineStr">
        <is>
          <t>GÄVLEBORGS LÄN</t>
        </is>
      </c>
      <c r="E296" t="inlineStr">
        <is>
          <t>HOFORS</t>
        </is>
      </c>
      <c r="G296" t="n">
        <v>4.2</v>
      </c>
      <c r="H296" t="n">
        <v>0</v>
      </c>
      <c r="I296" t="n">
        <v>0</v>
      </c>
      <c r="J296" t="n">
        <v>0</v>
      </c>
      <c r="K296" t="n">
        <v>0</v>
      </c>
      <c r="L296" t="n">
        <v>0</v>
      </c>
      <c r="M296" t="n">
        <v>0</v>
      </c>
      <c r="N296" t="n">
        <v>0</v>
      </c>
      <c r="O296" t="n">
        <v>0</v>
      </c>
      <c r="P296" t="n">
        <v>0</v>
      </c>
      <c r="Q296" t="n">
        <v>0</v>
      </c>
      <c r="R296" s="2" t="inlineStr"/>
    </row>
    <row r="297" ht="15" customHeight="1">
      <c r="A297" t="inlineStr">
        <is>
          <t>A 1805-2024</t>
        </is>
      </c>
      <c r="B297" s="1" t="n">
        <v>45307</v>
      </c>
      <c r="C297" s="1" t="n">
        <v>45639</v>
      </c>
      <c r="D297" t="inlineStr">
        <is>
          <t>GÄVLEBORGS LÄN</t>
        </is>
      </c>
      <c r="E297" t="inlineStr">
        <is>
          <t>HOFORS</t>
        </is>
      </c>
      <c r="G297" t="n">
        <v>1.1</v>
      </c>
      <c r="H297" t="n">
        <v>0</v>
      </c>
      <c r="I297" t="n">
        <v>0</v>
      </c>
      <c r="J297" t="n">
        <v>0</v>
      </c>
      <c r="K297" t="n">
        <v>0</v>
      </c>
      <c r="L297" t="n">
        <v>0</v>
      </c>
      <c r="M297" t="n">
        <v>0</v>
      </c>
      <c r="N297" t="n">
        <v>0</v>
      </c>
      <c r="O297" t="n">
        <v>0</v>
      </c>
      <c r="P297" t="n">
        <v>0</v>
      </c>
      <c r="Q297" t="n">
        <v>0</v>
      </c>
      <c r="R297" s="2" t="inlineStr"/>
    </row>
    <row r="298" ht="15" customHeight="1">
      <c r="A298" t="inlineStr">
        <is>
          <t>A 1893-2024</t>
        </is>
      </c>
      <c r="B298" s="1" t="n">
        <v>45308</v>
      </c>
      <c r="C298" s="1" t="n">
        <v>45639</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5554-2024</t>
        </is>
      </c>
      <c r="B299" s="1" t="n">
        <v>45334</v>
      </c>
      <c r="C299" s="1" t="n">
        <v>45639</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6958-2024</t>
        </is>
      </c>
      <c r="B300" s="1" t="n">
        <v>45343</v>
      </c>
      <c r="C300" s="1" t="n">
        <v>45639</v>
      </c>
      <c r="D300" t="inlineStr">
        <is>
          <t>GÄVLEBORGS LÄN</t>
        </is>
      </c>
      <c r="E300" t="inlineStr">
        <is>
          <t>HOFORS</t>
        </is>
      </c>
      <c r="G300" t="n">
        <v>3.4</v>
      </c>
      <c r="H300" t="n">
        <v>0</v>
      </c>
      <c r="I300" t="n">
        <v>0</v>
      </c>
      <c r="J300" t="n">
        <v>0</v>
      </c>
      <c r="K300" t="n">
        <v>0</v>
      </c>
      <c r="L300" t="n">
        <v>0</v>
      </c>
      <c r="M300" t="n">
        <v>0</v>
      </c>
      <c r="N300" t="n">
        <v>0</v>
      </c>
      <c r="O300" t="n">
        <v>0</v>
      </c>
      <c r="P300" t="n">
        <v>0</v>
      </c>
      <c r="Q300" t="n">
        <v>0</v>
      </c>
      <c r="R300" s="2" t="inlineStr"/>
    </row>
    <row r="301" ht="15" customHeight="1">
      <c r="A301" t="inlineStr">
        <is>
          <t>A 6963-2024</t>
        </is>
      </c>
      <c r="B301" s="1" t="n">
        <v>45343</v>
      </c>
      <c r="C301" s="1" t="n">
        <v>45639</v>
      </c>
      <c r="D301" t="inlineStr">
        <is>
          <t>GÄVLEBORGS LÄN</t>
        </is>
      </c>
      <c r="E301" t="inlineStr">
        <is>
          <t>HOFORS</t>
        </is>
      </c>
      <c r="G301" t="n">
        <v>2.4</v>
      </c>
      <c r="H301" t="n">
        <v>0</v>
      </c>
      <c r="I301" t="n">
        <v>0</v>
      </c>
      <c r="J301" t="n">
        <v>0</v>
      </c>
      <c r="K301" t="n">
        <v>0</v>
      </c>
      <c r="L301" t="n">
        <v>0</v>
      </c>
      <c r="M301" t="n">
        <v>0</v>
      </c>
      <c r="N301" t="n">
        <v>0</v>
      </c>
      <c r="O301" t="n">
        <v>0</v>
      </c>
      <c r="P301" t="n">
        <v>0</v>
      </c>
      <c r="Q301" t="n">
        <v>0</v>
      </c>
      <c r="R301" s="2" t="inlineStr"/>
    </row>
    <row r="302" ht="15" customHeight="1">
      <c r="A302" t="inlineStr">
        <is>
          <t>A 7563-2024</t>
        </is>
      </c>
      <c r="B302" s="1" t="n">
        <v>45348</v>
      </c>
      <c r="C302" s="1" t="n">
        <v>45639</v>
      </c>
      <c r="D302" t="inlineStr">
        <is>
          <t>GÄVLEBORGS LÄN</t>
        </is>
      </c>
      <c r="E302" t="inlineStr">
        <is>
          <t>HOFORS</t>
        </is>
      </c>
      <c r="G302" t="n">
        <v>10.8</v>
      </c>
      <c r="H302" t="n">
        <v>0</v>
      </c>
      <c r="I302" t="n">
        <v>0</v>
      </c>
      <c r="J302" t="n">
        <v>0</v>
      </c>
      <c r="K302" t="n">
        <v>0</v>
      </c>
      <c r="L302" t="n">
        <v>0</v>
      </c>
      <c r="M302" t="n">
        <v>0</v>
      </c>
      <c r="N302" t="n">
        <v>0</v>
      </c>
      <c r="O302" t="n">
        <v>0</v>
      </c>
      <c r="P302" t="n">
        <v>0</v>
      </c>
      <c r="Q302" t="n">
        <v>0</v>
      </c>
      <c r="R302" s="2" t="inlineStr"/>
    </row>
    <row r="303" ht="15" customHeight="1">
      <c r="A303" t="inlineStr">
        <is>
          <t>A 7547-2024</t>
        </is>
      </c>
      <c r="B303" s="1" t="n">
        <v>45348</v>
      </c>
      <c r="C303" s="1" t="n">
        <v>45639</v>
      </c>
      <c r="D303" t="inlineStr">
        <is>
          <t>GÄVLEBORGS LÄN</t>
        </is>
      </c>
      <c r="E303" t="inlineStr">
        <is>
          <t>HOFORS</t>
        </is>
      </c>
      <c r="G303" t="n">
        <v>3.8</v>
      </c>
      <c r="H303" t="n">
        <v>0</v>
      </c>
      <c r="I303" t="n">
        <v>0</v>
      </c>
      <c r="J303" t="n">
        <v>0</v>
      </c>
      <c r="K303" t="n">
        <v>0</v>
      </c>
      <c r="L303" t="n">
        <v>0</v>
      </c>
      <c r="M303" t="n">
        <v>0</v>
      </c>
      <c r="N303" t="n">
        <v>0</v>
      </c>
      <c r="O303" t="n">
        <v>0</v>
      </c>
      <c r="P303" t="n">
        <v>0</v>
      </c>
      <c r="Q303" t="n">
        <v>0</v>
      </c>
      <c r="R303" s="2" t="inlineStr"/>
    </row>
    <row r="304" ht="15" customHeight="1">
      <c r="A304" t="inlineStr">
        <is>
          <t>A 11818-2024</t>
        </is>
      </c>
      <c r="B304" s="1" t="n">
        <v>45376</v>
      </c>
      <c r="C304" s="1" t="n">
        <v>45639</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11813-2024</t>
        </is>
      </c>
      <c r="B305" s="1" t="n">
        <v>45376</v>
      </c>
      <c r="C305" s="1" t="n">
        <v>45639</v>
      </c>
      <c r="D305" t="inlineStr">
        <is>
          <t>GÄVLEBORGS LÄN</t>
        </is>
      </c>
      <c r="E305" t="inlineStr">
        <is>
          <t>HOFORS</t>
        </is>
      </c>
      <c r="G305" t="n">
        <v>2.3</v>
      </c>
      <c r="H305" t="n">
        <v>0</v>
      </c>
      <c r="I305" t="n">
        <v>0</v>
      </c>
      <c r="J305" t="n">
        <v>0</v>
      </c>
      <c r="K305" t="n">
        <v>0</v>
      </c>
      <c r="L305" t="n">
        <v>0</v>
      </c>
      <c r="M305" t="n">
        <v>0</v>
      </c>
      <c r="N305" t="n">
        <v>0</v>
      </c>
      <c r="O305" t="n">
        <v>0</v>
      </c>
      <c r="P305" t="n">
        <v>0</v>
      </c>
      <c r="Q305" t="n">
        <v>0</v>
      </c>
      <c r="R305" s="2" t="inlineStr"/>
    </row>
    <row r="306" ht="15" customHeight="1">
      <c r="A306" t="inlineStr">
        <is>
          <t>A 13473-2024</t>
        </is>
      </c>
      <c r="B306" s="1" t="n">
        <v>45387</v>
      </c>
      <c r="C306" s="1" t="n">
        <v>45639</v>
      </c>
      <c r="D306" t="inlineStr">
        <is>
          <t>GÄVLEBORGS LÄN</t>
        </is>
      </c>
      <c r="E306" t="inlineStr">
        <is>
          <t>HOFORS</t>
        </is>
      </c>
      <c r="G306" t="n">
        <v>1.8</v>
      </c>
      <c r="H306" t="n">
        <v>0</v>
      </c>
      <c r="I306" t="n">
        <v>0</v>
      </c>
      <c r="J306" t="n">
        <v>0</v>
      </c>
      <c r="K306" t="n">
        <v>0</v>
      </c>
      <c r="L306" t="n">
        <v>0</v>
      </c>
      <c r="M306" t="n">
        <v>0</v>
      </c>
      <c r="N306" t="n">
        <v>0</v>
      </c>
      <c r="O306" t="n">
        <v>0</v>
      </c>
      <c r="P306" t="n">
        <v>0</v>
      </c>
      <c r="Q306" t="n">
        <v>0</v>
      </c>
      <c r="R306" s="2" t="inlineStr"/>
    </row>
    <row r="307" ht="15" customHeight="1">
      <c r="A307" t="inlineStr">
        <is>
          <t>A 13471-2024</t>
        </is>
      </c>
      <c r="B307" s="1" t="n">
        <v>45387</v>
      </c>
      <c r="C307" s="1" t="n">
        <v>45639</v>
      </c>
      <c r="D307" t="inlineStr">
        <is>
          <t>GÄVLEBORGS LÄN</t>
        </is>
      </c>
      <c r="E307" t="inlineStr">
        <is>
          <t>HOFORS</t>
        </is>
      </c>
      <c r="G307" t="n">
        <v>2.9</v>
      </c>
      <c r="H307" t="n">
        <v>0</v>
      </c>
      <c r="I307" t="n">
        <v>0</v>
      </c>
      <c r="J307" t="n">
        <v>0</v>
      </c>
      <c r="K307" t="n">
        <v>0</v>
      </c>
      <c r="L307" t="n">
        <v>0</v>
      </c>
      <c r="M307" t="n">
        <v>0</v>
      </c>
      <c r="N307" t="n">
        <v>0</v>
      </c>
      <c r="O307" t="n">
        <v>0</v>
      </c>
      <c r="P307" t="n">
        <v>0</v>
      </c>
      <c r="Q307" t="n">
        <v>0</v>
      </c>
      <c r="R307" s="2" t="inlineStr"/>
    </row>
    <row r="308" ht="15" customHeight="1">
      <c r="A308" t="inlineStr">
        <is>
          <t>A 15484-2024</t>
        </is>
      </c>
      <c r="B308" s="1" t="n">
        <v>45401</v>
      </c>
      <c r="C308" s="1" t="n">
        <v>45639</v>
      </c>
      <c r="D308" t="inlineStr">
        <is>
          <t>GÄVLEBORGS LÄN</t>
        </is>
      </c>
      <c r="E308" t="inlineStr">
        <is>
          <t>HOFORS</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16137-2024</t>
        </is>
      </c>
      <c r="B309" s="1" t="n">
        <v>45406</v>
      </c>
      <c r="C309" s="1" t="n">
        <v>45639</v>
      </c>
      <c r="D309" t="inlineStr">
        <is>
          <t>GÄVLEBORGS LÄN</t>
        </is>
      </c>
      <c r="E309" t="inlineStr">
        <is>
          <t>HOFORS</t>
        </is>
      </c>
      <c r="G309" t="n">
        <v>6</v>
      </c>
      <c r="H309" t="n">
        <v>0</v>
      </c>
      <c r="I309" t="n">
        <v>0</v>
      </c>
      <c r="J309" t="n">
        <v>0</v>
      </c>
      <c r="K309" t="n">
        <v>0</v>
      </c>
      <c r="L309" t="n">
        <v>0</v>
      </c>
      <c r="M309" t="n">
        <v>0</v>
      </c>
      <c r="N309" t="n">
        <v>0</v>
      </c>
      <c r="O309" t="n">
        <v>0</v>
      </c>
      <c r="P309" t="n">
        <v>0</v>
      </c>
      <c r="Q309" t="n">
        <v>0</v>
      </c>
      <c r="R309" s="2" t="inlineStr"/>
    </row>
    <row r="310" ht="15" customHeight="1">
      <c r="A310" t="inlineStr">
        <is>
          <t>A 16135-2024</t>
        </is>
      </c>
      <c r="B310" s="1" t="n">
        <v>45406</v>
      </c>
      <c r="C310" s="1" t="n">
        <v>45639</v>
      </c>
      <c r="D310" t="inlineStr">
        <is>
          <t>GÄVLEBORGS LÄN</t>
        </is>
      </c>
      <c r="E310" t="inlineStr">
        <is>
          <t>HOFORS</t>
        </is>
      </c>
      <c r="G310" t="n">
        <v>2.4</v>
      </c>
      <c r="H310" t="n">
        <v>0</v>
      </c>
      <c r="I310" t="n">
        <v>0</v>
      </c>
      <c r="J310" t="n">
        <v>0</v>
      </c>
      <c r="K310" t="n">
        <v>0</v>
      </c>
      <c r="L310" t="n">
        <v>0</v>
      </c>
      <c r="M310" t="n">
        <v>0</v>
      </c>
      <c r="N310" t="n">
        <v>0</v>
      </c>
      <c r="O310" t="n">
        <v>0</v>
      </c>
      <c r="P310" t="n">
        <v>0</v>
      </c>
      <c r="Q310" t="n">
        <v>0</v>
      </c>
      <c r="R310" s="2" t="inlineStr"/>
    </row>
    <row r="311" ht="15" customHeight="1">
      <c r="A311" t="inlineStr">
        <is>
          <t>A 16147-2024</t>
        </is>
      </c>
      <c r="B311" s="1" t="n">
        <v>45406</v>
      </c>
      <c r="C311" s="1" t="n">
        <v>45639</v>
      </c>
      <c r="D311" t="inlineStr">
        <is>
          <t>GÄVLEBORGS LÄN</t>
        </is>
      </c>
      <c r="E311" t="inlineStr">
        <is>
          <t>HOFORS</t>
        </is>
      </c>
      <c r="G311" t="n">
        <v>1.4</v>
      </c>
      <c r="H311" t="n">
        <v>0</v>
      </c>
      <c r="I311" t="n">
        <v>0</v>
      </c>
      <c r="J311" t="n">
        <v>0</v>
      </c>
      <c r="K311" t="n">
        <v>0</v>
      </c>
      <c r="L311" t="n">
        <v>0</v>
      </c>
      <c r="M311" t="n">
        <v>0</v>
      </c>
      <c r="N311" t="n">
        <v>0</v>
      </c>
      <c r="O311" t="n">
        <v>0</v>
      </c>
      <c r="P311" t="n">
        <v>0</v>
      </c>
      <c r="Q311" t="n">
        <v>0</v>
      </c>
      <c r="R311" s="2" t="inlineStr"/>
    </row>
    <row r="312" ht="15" customHeight="1">
      <c r="A312" t="inlineStr">
        <is>
          <t>A 18709-2024</t>
        </is>
      </c>
      <c r="B312" s="1" t="n">
        <v>45426</v>
      </c>
      <c r="C312" s="1" t="n">
        <v>45639</v>
      </c>
      <c r="D312" t="inlineStr">
        <is>
          <t>GÄVLEBORGS LÄN</t>
        </is>
      </c>
      <c r="E312" t="inlineStr">
        <is>
          <t>HOFORS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18963-2024</t>
        </is>
      </c>
      <c r="B313" s="1" t="n">
        <v>45427</v>
      </c>
      <c r="C313" s="1" t="n">
        <v>45639</v>
      </c>
      <c r="D313" t="inlineStr">
        <is>
          <t>GÄVLEBORGS LÄN</t>
        </is>
      </c>
      <c r="E313" t="inlineStr">
        <is>
          <t>HOFORS</t>
        </is>
      </c>
      <c r="G313" t="n">
        <v>1.6</v>
      </c>
      <c r="H313" t="n">
        <v>0</v>
      </c>
      <c r="I313" t="n">
        <v>0</v>
      </c>
      <c r="J313" t="n">
        <v>0</v>
      </c>
      <c r="K313" t="n">
        <v>0</v>
      </c>
      <c r="L313" t="n">
        <v>0</v>
      </c>
      <c r="M313" t="n">
        <v>0</v>
      </c>
      <c r="N313" t="n">
        <v>0</v>
      </c>
      <c r="O313" t="n">
        <v>0</v>
      </c>
      <c r="P313" t="n">
        <v>0</v>
      </c>
      <c r="Q313" t="n">
        <v>0</v>
      </c>
      <c r="R313" s="2" t="inlineStr"/>
    </row>
    <row r="314" ht="15" customHeight="1">
      <c r="A314" t="inlineStr">
        <is>
          <t>A 20191-2024</t>
        </is>
      </c>
      <c r="B314" s="1" t="n">
        <v>45434</v>
      </c>
      <c r="C314" s="1" t="n">
        <v>45639</v>
      </c>
      <c r="D314" t="inlineStr">
        <is>
          <t>GÄVLEBORGS LÄN</t>
        </is>
      </c>
      <c r="E314" t="inlineStr">
        <is>
          <t>HOFORS</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21019-2024</t>
        </is>
      </c>
      <c r="B315" s="1" t="n">
        <v>45439</v>
      </c>
      <c r="C315" s="1" t="n">
        <v>45639</v>
      </c>
      <c r="D315" t="inlineStr">
        <is>
          <t>GÄVLEBORGS LÄN</t>
        </is>
      </c>
      <c r="E315" t="inlineStr">
        <is>
          <t>HOFORS</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21027-2024</t>
        </is>
      </c>
      <c r="B316" s="1" t="n">
        <v>45439</v>
      </c>
      <c r="C316" s="1" t="n">
        <v>45639</v>
      </c>
      <c r="D316" t="inlineStr">
        <is>
          <t>GÄVLEBORGS LÄN</t>
        </is>
      </c>
      <c r="E316" t="inlineStr">
        <is>
          <t>HOFORS</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21039-2024</t>
        </is>
      </c>
      <c r="B317" s="1" t="n">
        <v>45439</v>
      </c>
      <c r="C317" s="1" t="n">
        <v>45639</v>
      </c>
      <c r="D317" t="inlineStr">
        <is>
          <t>GÄVLEBORGS LÄN</t>
        </is>
      </c>
      <c r="E317" t="inlineStr">
        <is>
          <t>HOFORS</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21028-2024</t>
        </is>
      </c>
      <c r="B318" s="1" t="n">
        <v>45439</v>
      </c>
      <c r="C318" s="1" t="n">
        <v>45639</v>
      </c>
      <c r="D318" t="inlineStr">
        <is>
          <t>GÄVLEBORGS LÄN</t>
        </is>
      </c>
      <c r="E318" t="inlineStr">
        <is>
          <t>HOFORS</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21254-2024</t>
        </is>
      </c>
      <c r="B319" s="1" t="n">
        <v>45440</v>
      </c>
      <c r="C319" s="1" t="n">
        <v>45639</v>
      </c>
      <c r="D319" t="inlineStr">
        <is>
          <t>GÄVLEBORGS LÄN</t>
        </is>
      </c>
      <c r="E319" t="inlineStr">
        <is>
          <t>HOFORS</t>
        </is>
      </c>
      <c r="G319" t="n">
        <v>4.3</v>
      </c>
      <c r="H319" t="n">
        <v>0</v>
      </c>
      <c r="I319" t="n">
        <v>0</v>
      </c>
      <c r="J319" t="n">
        <v>0</v>
      </c>
      <c r="K319" t="n">
        <v>0</v>
      </c>
      <c r="L319" t="n">
        <v>0</v>
      </c>
      <c r="M319" t="n">
        <v>0</v>
      </c>
      <c r="N319" t="n">
        <v>0</v>
      </c>
      <c r="O319" t="n">
        <v>0</v>
      </c>
      <c r="P319" t="n">
        <v>0</v>
      </c>
      <c r="Q319" t="n">
        <v>0</v>
      </c>
      <c r="R319" s="2" t="inlineStr"/>
    </row>
    <row r="320" ht="15" customHeight="1">
      <c r="A320" t="inlineStr">
        <is>
          <t>A 21750-2024</t>
        </is>
      </c>
      <c r="B320" s="1" t="n">
        <v>45442</v>
      </c>
      <c r="C320" s="1" t="n">
        <v>45639</v>
      </c>
      <c r="D320" t="inlineStr">
        <is>
          <t>GÄVLEBORGS LÄN</t>
        </is>
      </c>
      <c r="E320" t="inlineStr">
        <is>
          <t>HOFORS</t>
        </is>
      </c>
      <c r="G320" t="n">
        <v>3.7</v>
      </c>
      <c r="H320" t="n">
        <v>0</v>
      </c>
      <c r="I320" t="n">
        <v>0</v>
      </c>
      <c r="J320" t="n">
        <v>0</v>
      </c>
      <c r="K320" t="n">
        <v>0</v>
      </c>
      <c r="L320" t="n">
        <v>0</v>
      </c>
      <c r="M320" t="n">
        <v>0</v>
      </c>
      <c r="N320" t="n">
        <v>0</v>
      </c>
      <c r="O320" t="n">
        <v>0</v>
      </c>
      <c r="P320" t="n">
        <v>0</v>
      </c>
      <c r="Q320" t="n">
        <v>0</v>
      </c>
      <c r="R320" s="2" t="inlineStr"/>
    </row>
    <row r="321" ht="15" customHeight="1">
      <c r="A321" t="inlineStr">
        <is>
          <t>A 21751-2024</t>
        </is>
      </c>
      <c r="B321" s="1" t="n">
        <v>45442</v>
      </c>
      <c r="C321" s="1" t="n">
        <v>45639</v>
      </c>
      <c r="D321" t="inlineStr">
        <is>
          <t>GÄVLEBORGS LÄN</t>
        </is>
      </c>
      <c r="E321" t="inlineStr">
        <is>
          <t>HOFORS</t>
        </is>
      </c>
      <c r="G321" t="n">
        <v>4.1</v>
      </c>
      <c r="H321" t="n">
        <v>0</v>
      </c>
      <c r="I321" t="n">
        <v>0</v>
      </c>
      <c r="J321" t="n">
        <v>0</v>
      </c>
      <c r="K321" t="n">
        <v>0</v>
      </c>
      <c r="L321" t="n">
        <v>0</v>
      </c>
      <c r="M321" t="n">
        <v>0</v>
      </c>
      <c r="N321" t="n">
        <v>0</v>
      </c>
      <c r="O321" t="n">
        <v>0</v>
      </c>
      <c r="P321" t="n">
        <v>0</v>
      </c>
      <c r="Q321" t="n">
        <v>0</v>
      </c>
      <c r="R321" s="2" t="inlineStr"/>
    </row>
    <row r="322" ht="15" customHeight="1">
      <c r="A322" t="inlineStr">
        <is>
          <t>A 21958-2024</t>
        </is>
      </c>
      <c r="B322" s="1" t="n">
        <v>45443</v>
      </c>
      <c r="C322" s="1" t="n">
        <v>45639</v>
      </c>
      <c r="D322" t="inlineStr">
        <is>
          <t>GÄVLEBORGS LÄN</t>
        </is>
      </c>
      <c r="E322" t="inlineStr">
        <is>
          <t>HOFORS</t>
        </is>
      </c>
      <c r="G322" t="n">
        <v>6.1</v>
      </c>
      <c r="H322" t="n">
        <v>0</v>
      </c>
      <c r="I322" t="n">
        <v>0</v>
      </c>
      <c r="J322" t="n">
        <v>0</v>
      </c>
      <c r="K322" t="n">
        <v>0</v>
      </c>
      <c r="L322" t="n">
        <v>0</v>
      </c>
      <c r="M322" t="n">
        <v>0</v>
      </c>
      <c r="N322" t="n">
        <v>0</v>
      </c>
      <c r="O322" t="n">
        <v>0</v>
      </c>
      <c r="P322" t="n">
        <v>0</v>
      </c>
      <c r="Q322" t="n">
        <v>0</v>
      </c>
      <c r="R322" s="2" t="inlineStr"/>
    </row>
    <row r="323" ht="15" customHeight="1">
      <c r="A323" t="inlineStr">
        <is>
          <t>A 22226-2024</t>
        </is>
      </c>
      <c r="B323" s="1" t="n">
        <v>45446</v>
      </c>
      <c r="C323" s="1" t="n">
        <v>45639</v>
      </c>
      <c r="D323" t="inlineStr">
        <is>
          <t>GÄVLEBORGS LÄN</t>
        </is>
      </c>
      <c r="E323" t="inlineStr">
        <is>
          <t>HOFORS</t>
        </is>
      </c>
      <c r="G323" t="n">
        <v>0.6</v>
      </c>
      <c r="H323" t="n">
        <v>0</v>
      </c>
      <c r="I323" t="n">
        <v>0</v>
      </c>
      <c r="J323" t="n">
        <v>0</v>
      </c>
      <c r="K323" t="n">
        <v>0</v>
      </c>
      <c r="L323" t="n">
        <v>0</v>
      </c>
      <c r="M323" t="n">
        <v>0</v>
      </c>
      <c r="N323" t="n">
        <v>0</v>
      </c>
      <c r="O323" t="n">
        <v>0</v>
      </c>
      <c r="P323" t="n">
        <v>0</v>
      </c>
      <c r="Q323" t="n">
        <v>0</v>
      </c>
      <c r="R323" s="2" t="inlineStr"/>
    </row>
    <row r="324" ht="15" customHeight="1">
      <c r="A324" t="inlineStr">
        <is>
          <t>A 22530-2024</t>
        </is>
      </c>
      <c r="B324" s="1" t="n">
        <v>45447</v>
      </c>
      <c r="C324" s="1" t="n">
        <v>45639</v>
      </c>
      <c r="D324" t="inlineStr">
        <is>
          <t>GÄVLEBORGS LÄN</t>
        </is>
      </c>
      <c r="E324" t="inlineStr">
        <is>
          <t>HOFORS</t>
        </is>
      </c>
      <c r="G324" t="n">
        <v>1.3</v>
      </c>
      <c r="H324" t="n">
        <v>0</v>
      </c>
      <c r="I324" t="n">
        <v>0</v>
      </c>
      <c r="J324" t="n">
        <v>0</v>
      </c>
      <c r="K324" t="n">
        <v>0</v>
      </c>
      <c r="L324" t="n">
        <v>0</v>
      </c>
      <c r="M324" t="n">
        <v>0</v>
      </c>
      <c r="N324" t="n">
        <v>0</v>
      </c>
      <c r="O324" t="n">
        <v>0</v>
      </c>
      <c r="P324" t="n">
        <v>0</v>
      </c>
      <c r="Q324" t="n">
        <v>0</v>
      </c>
      <c r="R324" s="2" t="inlineStr"/>
    </row>
    <row r="325" ht="15" customHeight="1">
      <c r="A325" t="inlineStr">
        <is>
          <t>A 23376-2024</t>
        </is>
      </c>
      <c r="B325" s="1" t="n">
        <v>45453</v>
      </c>
      <c r="C325" s="1" t="n">
        <v>45639</v>
      </c>
      <c r="D325" t="inlineStr">
        <is>
          <t>GÄVLEBORGS LÄN</t>
        </is>
      </c>
      <c r="E325" t="inlineStr">
        <is>
          <t>HOFORS</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23355-2024</t>
        </is>
      </c>
      <c r="B326" s="1" t="n">
        <v>45453</v>
      </c>
      <c r="C326" s="1" t="n">
        <v>45639</v>
      </c>
      <c r="D326" t="inlineStr">
        <is>
          <t>GÄVLEBORGS LÄN</t>
        </is>
      </c>
      <c r="E326" t="inlineStr">
        <is>
          <t>HOFORS</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23891-2024</t>
        </is>
      </c>
      <c r="B327" s="1" t="n">
        <v>45455</v>
      </c>
      <c r="C327" s="1" t="n">
        <v>45639</v>
      </c>
      <c r="D327" t="inlineStr">
        <is>
          <t>GÄVLEBORGS LÄN</t>
        </is>
      </c>
      <c r="E327" t="inlineStr">
        <is>
          <t>HOFORS</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24008-2024</t>
        </is>
      </c>
      <c r="B328" s="1" t="n">
        <v>45456</v>
      </c>
      <c r="C328" s="1" t="n">
        <v>45639</v>
      </c>
      <c r="D328" t="inlineStr">
        <is>
          <t>GÄVLEBORGS LÄN</t>
        </is>
      </c>
      <c r="E328" t="inlineStr">
        <is>
          <t>HOFORS</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25476-2024</t>
        </is>
      </c>
      <c r="B329" s="1" t="n">
        <v>45463</v>
      </c>
      <c r="C329" s="1" t="n">
        <v>45639</v>
      </c>
      <c r="D329" t="inlineStr">
        <is>
          <t>GÄVLEBORGS LÄN</t>
        </is>
      </c>
      <c r="E329" t="inlineStr">
        <is>
          <t>HOFORS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25474-2024</t>
        </is>
      </c>
      <c r="B330" s="1" t="n">
        <v>45463</v>
      </c>
      <c r="C330" s="1" t="n">
        <v>45639</v>
      </c>
      <c r="D330" t="inlineStr">
        <is>
          <t>GÄVLEBORGS LÄN</t>
        </is>
      </c>
      <c r="E330" t="inlineStr">
        <is>
          <t>HOFORS</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25477-2024</t>
        </is>
      </c>
      <c r="B331" s="1" t="n">
        <v>45463</v>
      </c>
      <c r="C331" s="1" t="n">
        <v>45639</v>
      </c>
      <c r="D331" t="inlineStr">
        <is>
          <t>GÄVLEBORGS LÄN</t>
        </is>
      </c>
      <c r="E331" t="inlineStr">
        <is>
          <t>HOFORS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25465-2024</t>
        </is>
      </c>
      <c r="B332" s="1" t="n">
        <v>45463</v>
      </c>
      <c r="C332" s="1" t="n">
        <v>45639</v>
      </c>
      <c r="D332" t="inlineStr">
        <is>
          <t>GÄVLEBORGS LÄN</t>
        </is>
      </c>
      <c r="E332" t="inlineStr">
        <is>
          <t>HOFORS</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26306-2024</t>
        </is>
      </c>
      <c r="B333" s="1" t="n">
        <v>45469</v>
      </c>
      <c r="C333" s="1" t="n">
        <v>45639</v>
      </c>
      <c r="D333" t="inlineStr">
        <is>
          <t>GÄVLEBORGS LÄN</t>
        </is>
      </c>
      <c r="E333" t="inlineStr">
        <is>
          <t>HOFORS</t>
        </is>
      </c>
      <c r="G333" t="n">
        <v>3.8</v>
      </c>
      <c r="H333" t="n">
        <v>0</v>
      </c>
      <c r="I333" t="n">
        <v>0</v>
      </c>
      <c r="J333" t="n">
        <v>0</v>
      </c>
      <c r="K333" t="n">
        <v>0</v>
      </c>
      <c r="L333" t="n">
        <v>0</v>
      </c>
      <c r="M333" t="n">
        <v>0</v>
      </c>
      <c r="N333" t="n">
        <v>0</v>
      </c>
      <c r="O333" t="n">
        <v>0</v>
      </c>
      <c r="P333" t="n">
        <v>0</v>
      </c>
      <c r="Q333" t="n">
        <v>0</v>
      </c>
      <c r="R333" s="2" t="inlineStr"/>
    </row>
    <row r="334" ht="15" customHeight="1">
      <c r="A334" t="inlineStr">
        <is>
          <t>A 26307-2024</t>
        </is>
      </c>
      <c r="B334" s="1" t="n">
        <v>45469</v>
      </c>
      <c r="C334" s="1" t="n">
        <v>45639</v>
      </c>
      <c r="D334" t="inlineStr">
        <is>
          <t>GÄVLEBORGS LÄN</t>
        </is>
      </c>
      <c r="E334" t="inlineStr">
        <is>
          <t>HOFORS</t>
        </is>
      </c>
      <c r="G334" t="n">
        <v>4.2</v>
      </c>
      <c r="H334" t="n">
        <v>0</v>
      </c>
      <c r="I334" t="n">
        <v>0</v>
      </c>
      <c r="J334" t="n">
        <v>0</v>
      </c>
      <c r="K334" t="n">
        <v>0</v>
      </c>
      <c r="L334" t="n">
        <v>0</v>
      </c>
      <c r="M334" t="n">
        <v>0</v>
      </c>
      <c r="N334" t="n">
        <v>0</v>
      </c>
      <c r="O334" t="n">
        <v>0</v>
      </c>
      <c r="P334" t="n">
        <v>0</v>
      </c>
      <c r="Q334" t="n">
        <v>0</v>
      </c>
      <c r="R334" s="2" t="inlineStr"/>
    </row>
    <row r="335" ht="15" customHeight="1">
      <c r="A335" t="inlineStr">
        <is>
          <t>A 26308-2024</t>
        </is>
      </c>
      <c r="B335" s="1" t="n">
        <v>45469</v>
      </c>
      <c r="C335" s="1" t="n">
        <v>45639</v>
      </c>
      <c r="D335" t="inlineStr">
        <is>
          <t>GÄVLEBORGS LÄN</t>
        </is>
      </c>
      <c r="E335" t="inlineStr">
        <is>
          <t>HOFORS</t>
        </is>
      </c>
      <c r="G335" t="n">
        <v>5.3</v>
      </c>
      <c r="H335" t="n">
        <v>0</v>
      </c>
      <c r="I335" t="n">
        <v>0</v>
      </c>
      <c r="J335" t="n">
        <v>0</v>
      </c>
      <c r="K335" t="n">
        <v>0</v>
      </c>
      <c r="L335" t="n">
        <v>0</v>
      </c>
      <c r="M335" t="n">
        <v>0</v>
      </c>
      <c r="N335" t="n">
        <v>0</v>
      </c>
      <c r="O335" t="n">
        <v>0</v>
      </c>
      <c r="P335" t="n">
        <v>0</v>
      </c>
      <c r="Q335" t="n">
        <v>0</v>
      </c>
      <c r="R335" s="2" t="inlineStr"/>
    </row>
    <row r="336" ht="15" customHeight="1">
      <c r="A336" t="inlineStr">
        <is>
          <t>A 27731-2024</t>
        </is>
      </c>
      <c r="B336" s="1" t="n">
        <v>45475</v>
      </c>
      <c r="C336" s="1" t="n">
        <v>45639</v>
      </c>
      <c r="D336" t="inlineStr">
        <is>
          <t>GÄVLEBORGS LÄN</t>
        </is>
      </c>
      <c r="E336" t="inlineStr">
        <is>
          <t>HOFORS</t>
        </is>
      </c>
      <c r="F336" t="inlineStr">
        <is>
          <t>Bergvik skog öst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27738-2024</t>
        </is>
      </c>
      <c r="B337" s="1" t="n">
        <v>45475</v>
      </c>
      <c r="C337" s="1" t="n">
        <v>45639</v>
      </c>
      <c r="D337" t="inlineStr">
        <is>
          <t>GÄVLEBORGS LÄN</t>
        </is>
      </c>
      <c r="E337" t="inlineStr">
        <is>
          <t>HOFORS</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27734-2024</t>
        </is>
      </c>
      <c r="B338" s="1" t="n">
        <v>45475</v>
      </c>
      <c r="C338" s="1" t="n">
        <v>45639</v>
      </c>
      <c r="D338" t="inlineStr">
        <is>
          <t>GÄVLEBORGS LÄN</t>
        </is>
      </c>
      <c r="E338" t="inlineStr">
        <is>
          <t>HOFORS</t>
        </is>
      </c>
      <c r="F338" t="inlineStr">
        <is>
          <t>Bergvik skog öst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27880-2024</t>
        </is>
      </c>
      <c r="B339" s="1" t="n">
        <v>45475</v>
      </c>
      <c r="C339" s="1" t="n">
        <v>45639</v>
      </c>
      <c r="D339" t="inlineStr">
        <is>
          <t>GÄVLEBORGS LÄN</t>
        </is>
      </c>
      <c r="E339" t="inlineStr">
        <is>
          <t>HOFORS</t>
        </is>
      </c>
      <c r="G339" t="n">
        <v>3.1</v>
      </c>
      <c r="H339" t="n">
        <v>0</v>
      </c>
      <c r="I339" t="n">
        <v>0</v>
      </c>
      <c r="J339" t="n">
        <v>0</v>
      </c>
      <c r="K339" t="n">
        <v>0</v>
      </c>
      <c r="L339" t="n">
        <v>0</v>
      </c>
      <c r="M339" t="n">
        <v>0</v>
      </c>
      <c r="N339" t="n">
        <v>0</v>
      </c>
      <c r="O339" t="n">
        <v>0</v>
      </c>
      <c r="P339" t="n">
        <v>0</v>
      </c>
      <c r="Q339" t="n">
        <v>0</v>
      </c>
      <c r="R339" s="2" t="inlineStr"/>
    </row>
    <row r="340" ht="15" customHeight="1">
      <c r="A340" t="inlineStr">
        <is>
          <t>A 28018-2024</t>
        </is>
      </c>
      <c r="B340" s="1" t="n">
        <v>45476</v>
      </c>
      <c r="C340" s="1" t="n">
        <v>45639</v>
      </c>
      <c r="D340" t="inlineStr">
        <is>
          <t>GÄVLEBORGS LÄN</t>
        </is>
      </c>
      <c r="E340" t="inlineStr">
        <is>
          <t>HOFORS</t>
        </is>
      </c>
      <c r="G340" t="n">
        <v>7.9</v>
      </c>
      <c r="H340" t="n">
        <v>0</v>
      </c>
      <c r="I340" t="n">
        <v>0</v>
      </c>
      <c r="J340" t="n">
        <v>0</v>
      </c>
      <c r="K340" t="n">
        <v>0</v>
      </c>
      <c r="L340" t="n">
        <v>0</v>
      </c>
      <c r="M340" t="n">
        <v>0</v>
      </c>
      <c r="N340" t="n">
        <v>0</v>
      </c>
      <c r="O340" t="n">
        <v>0</v>
      </c>
      <c r="P340" t="n">
        <v>0</v>
      </c>
      <c r="Q340" t="n">
        <v>0</v>
      </c>
      <c r="R340" s="2" t="inlineStr"/>
    </row>
    <row r="341" ht="15" customHeight="1">
      <c r="A341" t="inlineStr">
        <is>
          <t>A 28133-2024</t>
        </is>
      </c>
      <c r="B341" s="1" t="n">
        <v>45476</v>
      </c>
      <c r="C341" s="1" t="n">
        <v>45639</v>
      </c>
      <c r="D341" t="inlineStr">
        <is>
          <t>GÄVLEBORGS LÄN</t>
        </is>
      </c>
      <c r="E341" t="inlineStr">
        <is>
          <t>HOFORS</t>
        </is>
      </c>
      <c r="G341" t="n">
        <v>3.8</v>
      </c>
      <c r="H341" t="n">
        <v>0</v>
      </c>
      <c r="I341" t="n">
        <v>0</v>
      </c>
      <c r="J341" t="n">
        <v>0</v>
      </c>
      <c r="K341" t="n">
        <v>0</v>
      </c>
      <c r="L341" t="n">
        <v>0</v>
      </c>
      <c r="M341" t="n">
        <v>0</v>
      </c>
      <c r="N341" t="n">
        <v>0</v>
      </c>
      <c r="O341" t="n">
        <v>0</v>
      </c>
      <c r="P341" t="n">
        <v>0</v>
      </c>
      <c r="Q341" t="n">
        <v>0</v>
      </c>
      <c r="R341" s="2" t="inlineStr"/>
    </row>
    <row r="342" ht="15" customHeight="1">
      <c r="A342" t="inlineStr">
        <is>
          <t>A 28023-2024</t>
        </is>
      </c>
      <c r="B342" s="1" t="n">
        <v>45476</v>
      </c>
      <c r="C342" s="1" t="n">
        <v>45639</v>
      </c>
      <c r="D342" t="inlineStr">
        <is>
          <t>GÄVLEBORGS LÄN</t>
        </is>
      </c>
      <c r="E342" t="inlineStr">
        <is>
          <t>HOFORS</t>
        </is>
      </c>
      <c r="G342" t="n">
        <v>0.7</v>
      </c>
      <c r="H342" t="n">
        <v>0</v>
      </c>
      <c r="I342" t="n">
        <v>0</v>
      </c>
      <c r="J342" t="n">
        <v>0</v>
      </c>
      <c r="K342" t="n">
        <v>0</v>
      </c>
      <c r="L342" t="n">
        <v>0</v>
      </c>
      <c r="M342" t="n">
        <v>0</v>
      </c>
      <c r="N342" t="n">
        <v>0</v>
      </c>
      <c r="O342" t="n">
        <v>0</v>
      </c>
      <c r="P342" t="n">
        <v>0</v>
      </c>
      <c r="Q342" t="n">
        <v>0</v>
      </c>
      <c r="R342" s="2" t="inlineStr"/>
    </row>
    <row r="343" ht="15" customHeight="1">
      <c r="A343" t="inlineStr">
        <is>
          <t>A 28021-2024</t>
        </is>
      </c>
      <c r="B343" s="1" t="n">
        <v>45476</v>
      </c>
      <c r="C343" s="1" t="n">
        <v>45639</v>
      </c>
      <c r="D343" t="inlineStr">
        <is>
          <t>GÄVLEBORGS LÄN</t>
        </is>
      </c>
      <c r="E343" t="inlineStr">
        <is>
          <t>HOFORS</t>
        </is>
      </c>
      <c r="G343" t="n">
        <v>0.6</v>
      </c>
      <c r="H343" t="n">
        <v>0</v>
      </c>
      <c r="I343" t="n">
        <v>0</v>
      </c>
      <c r="J343" t="n">
        <v>0</v>
      </c>
      <c r="K343" t="n">
        <v>0</v>
      </c>
      <c r="L343" t="n">
        <v>0</v>
      </c>
      <c r="M343" t="n">
        <v>0</v>
      </c>
      <c r="N343" t="n">
        <v>0</v>
      </c>
      <c r="O343" t="n">
        <v>0</v>
      </c>
      <c r="P343" t="n">
        <v>0</v>
      </c>
      <c r="Q343" t="n">
        <v>0</v>
      </c>
      <c r="R343" s="2" t="inlineStr"/>
    </row>
    <row r="344" ht="15" customHeight="1">
      <c r="A344" t="inlineStr">
        <is>
          <t>A 28391-2024</t>
        </is>
      </c>
      <c r="B344" s="1" t="n">
        <v>45477</v>
      </c>
      <c r="C344" s="1" t="n">
        <v>45639</v>
      </c>
      <c r="D344" t="inlineStr">
        <is>
          <t>GÄVLEBORGS LÄN</t>
        </is>
      </c>
      <c r="E344" t="inlineStr">
        <is>
          <t>HOFORS</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28534-2024</t>
        </is>
      </c>
      <c r="B345" s="1" t="n">
        <v>45478</v>
      </c>
      <c r="C345" s="1" t="n">
        <v>45639</v>
      </c>
      <c r="D345" t="inlineStr">
        <is>
          <t>GÄVLEBORGS LÄN</t>
        </is>
      </c>
      <c r="E345" t="inlineStr">
        <is>
          <t>HOFORS</t>
        </is>
      </c>
      <c r="G345" t="n">
        <v>1.7</v>
      </c>
      <c r="H345" t="n">
        <v>0</v>
      </c>
      <c r="I345" t="n">
        <v>0</v>
      </c>
      <c r="J345" t="n">
        <v>0</v>
      </c>
      <c r="K345" t="n">
        <v>0</v>
      </c>
      <c r="L345" t="n">
        <v>0</v>
      </c>
      <c r="M345" t="n">
        <v>0</v>
      </c>
      <c r="N345" t="n">
        <v>0</v>
      </c>
      <c r="O345" t="n">
        <v>0</v>
      </c>
      <c r="P345" t="n">
        <v>0</v>
      </c>
      <c r="Q345" t="n">
        <v>0</v>
      </c>
      <c r="R345" s="2" t="inlineStr"/>
    </row>
    <row r="346" ht="15" customHeight="1">
      <c r="A346" t="inlineStr">
        <is>
          <t>A 28536-2024</t>
        </is>
      </c>
      <c r="B346" s="1" t="n">
        <v>45478</v>
      </c>
      <c r="C346" s="1" t="n">
        <v>45639</v>
      </c>
      <c r="D346" t="inlineStr">
        <is>
          <t>GÄVLEBORGS LÄN</t>
        </is>
      </c>
      <c r="E346" t="inlineStr">
        <is>
          <t>HOFORS</t>
        </is>
      </c>
      <c r="G346" t="n">
        <v>3.5</v>
      </c>
      <c r="H346" t="n">
        <v>0</v>
      </c>
      <c r="I346" t="n">
        <v>0</v>
      </c>
      <c r="J346" t="n">
        <v>0</v>
      </c>
      <c r="K346" t="n">
        <v>0</v>
      </c>
      <c r="L346" t="n">
        <v>0</v>
      </c>
      <c r="M346" t="n">
        <v>0</v>
      </c>
      <c r="N346" t="n">
        <v>0</v>
      </c>
      <c r="O346" t="n">
        <v>0</v>
      </c>
      <c r="P346" t="n">
        <v>0</v>
      </c>
      <c r="Q346" t="n">
        <v>0</v>
      </c>
      <c r="R346" s="2" t="inlineStr"/>
    </row>
    <row r="347" ht="15" customHeight="1">
      <c r="A347" t="inlineStr">
        <is>
          <t>A 30007-2024</t>
        </is>
      </c>
      <c r="B347" s="1" t="n">
        <v>45488</v>
      </c>
      <c r="C347" s="1" t="n">
        <v>45639</v>
      </c>
      <c r="D347" t="inlineStr">
        <is>
          <t>GÄVLEBORGS LÄN</t>
        </is>
      </c>
      <c r="E347" t="inlineStr">
        <is>
          <t>HOFORS</t>
        </is>
      </c>
      <c r="F347" t="inlineStr">
        <is>
          <t>Sveaskog</t>
        </is>
      </c>
      <c r="G347" t="n">
        <v>11.5</v>
      </c>
      <c r="H347" t="n">
        <v>0</v>
      </c>
      <c r="I347" t="n">
        <v>0</v>
      </c>
      <c r="J347" t="n">
        <v>0</v>
      </c>
      <c r="K347" t="n">
        <v>0</v>
      </c>
      <c r="L347" t="n">
        <v>0</v>
      </c>
      <c r="M347" t="n">
        <v>0</v>
      </c>
      <c r="N347" t="n">
        <v>0</v>
      </c>
      <c r="O347" t="n">
        <v>0</v>
      </c>
      <c r="P347" t="n">
        <v>0</v>
      </c>
      <c r="Q347" t="n">
        <v>0</v>
      </c>
      <c r="R347" s="2" t="inlineStr"/>
    </row>
    <row r="348" ht="15" customHeight="1">
      <c r="A348" t="inlineStr">
        <is>
          <t>A 30009-2024</t>
        </is>
      </c>
      <c r="B348" s="1" t="n">
        <v>45488</v>
      </c>
      <c r="C348" s="1" t="n">
        <v>45639</v>
      </c>
      <c r="D348" t="inlineStr">
        <is>
          <t>GÄVLEBORGS LÄN</t>
        </is>
      </c>
      <c r="E348" t="inlineStr">
        <is>
          <t>HOFORS</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30229-2024</t>
        </is>
      </c>
      <c r="B349" s="1" t="n">
        <v>45490</v>
      </c>
      <c r="C349" s="1" t="n">
        <v>45639</v>
      </c>
      <c r="D349" t="inlineStr">
        <is>
          <t>GÄVLEBORGS LÄN</t>
        </is>
      </c>
      <c r="E349" t="inlineStr">
        <is>
          <t>HOFORS</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31645-2024</t>
        </is>
      </c>
      <c r="B350" s="1" t="n">
        <v>45506</v>
      </c>
      <c r="C350" s="1" t="n">
        <v>45639</v>
      </c>
      <c r="D350" t="inlineStr">
        <is>
          <t>GÄVLEBORGS LÄN</t>
        </is>
      </c>
      <c r="E350" t="inlineStr">
        <is>
          <t>HOFORS</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31701-2024</t>
        </is>
      </c>
      <c r="B351" s="1" t="n">
        <v>45508</v>
      </c>
      <c r="C351" s="1" t="n">
        <v>45639</v>
      </c>
      <c r="D351" t="inlineStr">
        <is>
          <t>GÄVLEBORGS LÄN</t>
        </is>
      </c>
      <c r="E351" t="inlineStr">
        <is>
          <t>HOFORS</t>
        </is>
      </c>
      <c r="G351" t="n">
        <v>4.3</v>
      </c>
      <c r="H351" t="n">
        <v>0</v>
      </c>
      <c r="I351" t="n">
        <v>0</v>
      </c>
      <c r="J351" t="n">
        <v>0</v>
      </c>
      <c r="K351" t="n">
        <v>0</v>
      </c>
      <c r="L351" t="n">
        <v>0</v>
      </c>
      <c r="M351" t="n">
        <v>0</v>
      </c>
      <c r="N351" t="n">
        <v>0</v>
      </c>
      <c r="O351" t="n">
        <v>0</v>
      </c>
      <c r="P351" t="n">
        <v>0</v>
      </c>
      <c r="Q351" t="n">
        <v>0</v>
      </c>
      <c r="R351" s="2" t="inlineStr"/>
    </row>
    <row r="352" ht="15" customHeight="1">
      <c r="A352" t="inlineStr">
        <is>
          <t>A 32827-2024</t>
        </is>
      </c>
      <c r="B352" s="1" t="n">
        <v>45516</v>
      </c>
      <c r="C352" s="1" t="n">
        <v>45639</v>
      </c>
      <c r="D352" t="inlineStr">
        <is>
          <t>GÄVLEBORGS LÄN</t>
        </is>
      </c>
      <c r="E352" t="inlineStr">
        <is>
          <t>HOFORS</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33710-2024</t>
        </is>
      </c>
      <c r="B353" s="1" t="n">
        <v>45520</v>
      </c>
      <c r="C353" s="1" t="n">
        <v>45639</v>
      </c>
      <c r="D353" t="inlineStr">
        <is>
          <t>GÄVLEBORGS LÄN</t>
        </is>
      </c>
      <c r="E353" t="inlineStr">
        <is>
          <t>HOFORS</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33734-2024</t>
        </is>
      </c>
      <c r="B354" s="1" t="n">
        <v>45520</v>
      </c>
      <c r="C354" s="1" t="n">
        <v>45639</v>
      </c>
      <c r="D354" t="inlineStr">
        <is>
          <t>GÄVLEBORGS LÄN</t>
        </is>
      </c>
      <c r="E354" t="inlineStr">
        <is>
          <t>HOFORS</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33979-2024</t>
        </is>
      </c>
      <c r="B355" s="1" t="n">
        <v>45523</v>
      </c>
      <c r="C355" s="1" t="n">
        <v>45639</v>
      </c>
      <c r="D355" t="inlineStr">
        <is>
          <t>GÄVLEBORGS LÄN</t>
        </is>
      </c>
      <c r="E355" t="inlineStr">
        <is>
          <t>HOFORS</t>
        </is>
      </c>
      <c r="G355" t="n">
        <v>1.7</v>
      </c>
      <c r="H355" t="n">
        <v>0</v>
      </c>
      <c r="I355" t="n">
        <v>0</v>
      </c>
      <c r="J355" t="n">
        <v>0</v>
      </c>
      <c r="K355" t="n">
        <v>0</v>
      </c>
      <c r="L355" t="n">
        <v>0</v>
      </c>
      <c r="M355" t="n">
        <v>0</v>
      </c>
      <c r="N355" t="n">
        <v>0</v>
      </c>
      <c r="O355" t="n">
        <v>0</v>
      </c>
      <c r="P355" t="n">
        <v>0</v>
      </c>
      <c r="Q355" t="n">
        <v>0</v>
      </c>
      <c r="R355" s="2" t="inlineStr"/>
    </row>
    <row r="356" ht="15" customHeight="1">
      <c r="A356" t="inlineStr">
        <is>
          <t>A 33983-2024</t>
        </is>
      </c>
      <c r="B356" s="1" t="n">
        <v>45523</v>
      </c>
      <c r="C356" s="1" t="n">
        <v>45639</v>
      </c>
      <c r="D356" t="inlineStr">
        <is>
          <t>GÄVLEBORGS LÄN</t>
        </is>
      </c>
      <c r="E356" t="inlineStr">
        <is>
          <t>HOFORS</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33984-2024</t>
        </is>
      </c>
      <c r="B357" s="1" t="n">
        <v>45523</v>
      </c>
      <c r="C357" s="1" t="n">
        <v>45639</v>
      </c>
      <c r="D357" t="inlineStr">
        <is>
          <t>GÄVLEBORGS LÄN</t>
        </is>
      </c>
      <c r="E357" t="inlineStr">
        <is>
          <t>HOFORS</t>
        </is>
      </c>
      <c r="G357" t="n">
        <v>0.5</v>
      </c>
      <c r="H357" t="n">
        <v>0</v>
      </c>
      <c r="I357" t="n">
        <v>0</v>
      </c>
      <c r="J357" t="n">
        <v>0</v>
      </c>
      <c r="K357" t="n">
        <v>0</v>
      </c>
      <c r="L357" t="n">
        <v>0</v>
      </c>
      <c r="M357" t="n">
        <v>0</v>
      </c>
      <c r="N357" t="n">
        <v>0</v>
      </c>
      <c r="O357" t="n">
        <v>0</v>
      </c>
      <c r="P357" t="n">
        <v>0</v>
      </c>
      <c r="Q357" t="n">
        <v>0</v>
      </c>
      <c r="R357" s="2" t="inlineStr"/>
    </row>
    <row r="358" ht="15" customHeight="1">
      <c r="A358" t="inlineStr">
        <is>
          <t>A 33978-2024</t>
        </is>
      </c>
      <c r="B358" s="1" t="n">
        <v>45523</v>
      </c>
      <c r="C358" s="1" t="n">
        <v>45639</v>
      </c>
      <c r="D358" t="inlineStr">
        <is>
          <t>GÄVLEBORGS LÄN</t>
        </is>
      </c>
      <c r="E358" t="inlineStr">
        <is>
          <t>HOFORS</t>
        </is>
      </c>
      <c r="G358" t="n">
        <v>0.6</v>
      </c>
      <c r="H358" t="n">
        <v>0</v>
      </c>
      <c r="I358" t="n">
        <v>0</v>
      </c>
      <c r="J358" t="n">
        <v>0</v>
      </c>
      <c r="K358" t="n">
        <v>0</v>
      </c>
      <c r="L358" t="n">
        <v>0</v>
      </c>
      <c r="M358" t="n">
        <v>0</v>
      </c>
      <c r="N358" t="n">
        <v>0</v>
      </c>
      <c r="O358" t="n">
        <v>0</v>
      </c>
      <c r="P358" t="n">
        <v>0</v>
      </c>
      <c r="Q358" t="n">
        <v>0</v>
      </c>
      <c r="R358" s="2" t="inlineStr"/>
    </row>
    <row r="359" ht="15" customHeight="1">
      <c r="A359" t="inlineStr">
        <is>
          <t>A 33981-2024</t>
        </is>
      </c>
      <c r="B359" s="1" t="n">
        <v>45523</v>
      </c>
      <c r="C359" s="1" t="n">
        <v>45639</v>
      </c>
      <c r="D359" t="inlineStr">
        <is>
          <t>GÄVLEBORGS LÄN</t>
        </is>
      </c>
      <c r="E359" t="inlineStr">
        <is>
          <t>HOFORS</t>
        </is>
      </c>
      <c r="G359" t="n">
        <v>2.3</v>
      </c>
      <c r="H359" t="n">
        <v>0</v>
      </c>
      <c r="I359" t="n">
        <v>0</v>
      </c>
      <c r="J359" t="n">
        <v>0</v>
      </c>
      <c r="K359" t="n">
        <v>0</v>
      </c>
      <c r="L359" t="n">
        <v>0</v>
      </c>
      <c r="M359" t="n">
        <v>0</v>
      </c>
      <c r="N359" t="n">
        <v>0</v>
      </c>
      <c r="O359" t="n">
        <v>0</v>
      </c>
      <c r="P359" t="n">
        <v>0</v>
      </c>
      <c r="Q359" t="n">
        <v>0</v>
      </c>
      <c r="R359" s="2" t="inlineStr"/>
    </row>
    <row r="360" ht="15" customHeight="1">
      <c r="A360" t="inlineStr">
        <is>
          <t>A 33985-2024</t>
        </is>
      </c>
      <c r="B360" s="1" t="n">
        <v>45523</v>
      </c>
      <c r="C360" s="1" t="n">
        <v>45639</v>
      </c>
      <c r="D360" t="inlineStr">
        <is>
          <t>GÄVLEBORGS LÄN</t>
        </is>
      </c>
      <c r="E360" t="inlineStr">
        <is>
          <t>HOFORS</t>
        </is>
      </c>
      <c r="G360" t="n">
        <v>1.1</v>
      </c>
      <c r="H360" t="n">
        <v>0</v>
      </c>
      <c r="I360" t="n">
        <v>0</v>
      </c>
      <c r="J360" t="n">
        <v>0</v>
      </c>
      <c r="K360" t="n">
        <v>0</v>
      </c>
      <c r="L360" t="n">
        <v>0</v>
      </c>
      <c r="M360" t="n">
        <v>0</v>
      </c>
      <c r="N360" t="n">
        <v>0</v>
      </c>
      <c r="O360" t="n">
        <v>0</v>
      </c>
      <c r="P360" t="n">
        <v>0</v>
      </c>
      <c r="Q360" t="n">
        <v>0</v>
      </c>
      <c r="R360" s="2" t="inlineStr"/>
    </row>
    <row r="361" ht="15" customHeight="1">
      <c r="A361" t="inlineStr">
        <is>
          <t>A 35498-2024</t>
        </is>
      </c>
      <c r="B361" s="1" t="n">
        <v>45531</v>
      </c>
      <c r="C361" s="1" t="n">
        <v>45639</v>
      </c>
      <c r="D361" t="inlineStr">
        <is>
          <t>GÄVLEBORGS LÄN</t>
        </is>
      </c>
      <c r="E361" t="inlineStr">
        <is>
          <t>HOFORS</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35514-2024</t>
        </is>
      </c>
      <c r="B362" s="1" t="n">
        <v>45531</v>
      </c>
      <c r="C362" s="1" t="n">
        <v>45639</v>
      </c>
      <c r="D362" t="inlineStr">
        <is>
          <t>GÄVLEBORGS LÄN</t>
        </is>
      </c>
      <c r="E362" t="inlineStr">
        <is>
          <t>HOFORS</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35505-2024</t>
        </is>
      </c>
      <c r="B363" s="1" t="n">
        <v>45531</v>
      </c>
      <c r="C363" s="1" t="n">
        <v>45639</v>
      </c>
      <c r="D363" t="inlineStr">
        <is>
          <t>GÄVLEBORGS LÄN</t>
        </is>
      </c>
      <c r="E363" t="inlineStr">
        <is>
          <t>HOFORS</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35504-2024</t>
        </is>
      </c>
      <c r="B364" s="1" t="n">
        <v>45531</v>
      </c>
      <c r="C364" s="1" t="n">
        <v>45639</v>
      </c>
      <c r="D364" t="inlineStr">
        <is>
          <t>GÄVLEBORGS LÄN</t>
        </is>
      </c>
      <c r="E364" t="inlineStr">
        <is>
          <t>HOFORS</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36278-2024</t>
        </is>
      </c>
      <c r="B365" s="1" t="n">
        <v>45534</v>
      </c>
      <c r="C365" s="1" t="n">
        <v>45639</v>
      </c>
      <c r="D365" t="inlineStr">
        <is>
          <t>GÄVLEBORGS LÄN</t>
        </is>
      </c>
      <c r="E365" t="inlineStr">
        <is>
          <t>HOFORS</t>
        </is>
      </c>
      <c r="F365" t="inlineStr">
        <is>
          <t>Sveaskog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36283-2024</t>
        </is>
      </c>
      <c r="B366" s="1" t="n">
        <v>45534</v>
      </c>
      <c r="C366" s="1" t="n">
        <v>45639</v>
      </c>
      <c r="D366" t="inlineStr">
        <is>
          <t>GÄVLEBORGS LÄN</t>
        </is>
      </c>
      <c r="E366" t="inlineStr">
        <is>
          <t>HOFORS</t>
        </is>
      </c>
      <c r="F366" t="inlineStr">
        <is>
          <t>Sveaskog</t>
        </is>
      </c>
      <c r="G366" t="n">
        <v>6.9</v>
      </c>
      <c r="H366" t="n">
        <v>0</v>
      </c>
      <c r="I366" t="n">
        <v>0</v>
      </c>
      <c r="J366" t="n">
        <v>0</v>
      </c>
      <c r="K366" t="n">
        <v>0</v>
      </c>
      <c r="L366" t="n">
        <v>0</v>
      </c>
      <c r="M366" t="n">
        <v>0</v>
      </c>
      <c r="N366" t="n">
        <v>0</v>
      </c>
      <c r="O366" t="n">
        <v>0</v>
      </c>
      <c r="P366" t="n">
        <v>0</v>
      </c>
      <c r="Q366" t="n">
        <v>0</v>
      </c>
      <c r="R366" s="2" t="inlineStr"/>
    </row>
    <row r="367" ht="15" customHeight="1">
      <c r="A367" t="inlineStr">
        <is>
          <t>A 36766-2024</t>
        </is>
      </c>
      <c r="B367" s="1" t="n">
        <v>45538</v>
      </c>
      <c r="C367" s="1" t="n">
        <v>45639</v>
      </c>
      <c r="D367" t="inlineStr">
        <is>
          <t>GÄVLEBORGS LÄN</t>
        </is>
      </c>
      <c r="E367" t="inlineStr">
        <is>
          <t>HOFORS</t>
        </is>
      </c>
      <c r="G367" t="n">
        <v>5</v>
      </c>
      <c r="H367" t="n">
        <v>0</v>
      </c>
      <c r="I367" t="n">
        <v>0</v>
      </c>
      <c r="J367" t="n">
        <v>0</v>
      </c>
      <c r="K367" t="n">
        <v>0</v>
      </c>
      <c r="L367" t="n">
        <v>0</v>
      </c>
      <c r="M367" t="n">
        <v>0</v>
      </c>
      <c r="N367" t="n">
        <v>0</v>
      </c>
      <c r="O367" t="n">
        <v>0</v>
      </c>
      <c r="P367" t="n">
        <v>0</v>
      </c>
      <c r="Q367" t="n">
        <v>0</v>
      </c>
      <c r="R367" s="2" t="inlineStr"/>
    </row>
    <row r="368" ht="15" customHeight="1">
      <c r="A368" t="inlineStr">
        <is>
          <t>A 36763-2024</t>
        </is>
      </c>
      <c r="B368" s="1" t="n">
        <v>45538</v>
      </c>
      <c r="C368" s="1" t="n">
        <v>45639</v>
      </c>
      <c r="D368" t="inlineStr">
        <is>
          <t>GÄVLEBORGS LÄN</t>
        </is>
      </c>
      <c r="E368" t="inlineStr">
        <is>
          <t>HOFORS</t>
        </is>
      </c>
      <c r="G368" t="n">
        <v>1.5</v>
      </c>
      <c r="H368" t="n">
        <v>0</v>
      </c>
      <c r="I368" t="n">
        <v>0</v>
      </c>
      <c r="J368" t="n">
        <v>0</v>
      </c>
      <c r="K368" t="n">
        <v>0</v>
      </c>
      <c r="L368" t="n">
        <v>0</v>
      </c>
      <c r="M368" t="n">
        <v>0</v>
      </c>
      <c r="N368" t="n">
        <v>0</v>
      </c>
      <c r="O368" t="n">
        <v>0</v>
      </c>
      <c r="P368" t="n">
        <v>0</v>
      </c>
      <c r="Q368" t="n">
        <v>0</v>
      </c>
      <c r="R368" s="2" t="inlineStr"/>
    </row>
    <row r="369" ht="15" customHeight="1">
      <c r="A369" t="inlineStr">
        <is>
          <t>A 39083-2024</t>
        </is>
      </c>
      <c r="B369" s="1" t="n">
        <v>45548</v>
      </c>
      <c r="C369" s="1" t="n">
        <v>45639</v>
      </c>
      <c r="D369" t="inlineStr">
        <is>
          <t>GÄVLEBORGS LÄN</t>
        </is>
      </c>
      <c r="E369" t="inlineStr">
        <is>
          <t>HOFORS</t>
        </is>
      </c>
      <c r="G369" t="n">
        <v>0.6</v>
      </c>
      <c r="H369" t="n">
        <v>0</v>
      </c>
      <c r="I369" t="n">
        <v>0</v>
      </c>
      <c r="J369" t="n">
        <v>0</v>
      </c>
      <c r="K369" t="n">
        <v>0</v>
      </c>
      <c r="L369" t="n">
        <v>0</v>
      </c>
      <c r="M369" t="n">
        <v>0</v>
      </c>
      <c r="N369" t="n">
        <v>0</v>
      </c>
      <c r="O369" t="n">
        <v>0</v>
      </c>
      <c r="P369" t="n">
        <v>0</v>
      </c>
      <c r="Q369" t="n">
        <v>0</v>
      </c>
      <c r="R369" s="2" t="inlineStr"/>
    </row>
    <row r="370" ht="15" customHeight="1">
      <c r="A370" t="inlineStr">
        <is>
          <t>A 40861-2024</t>
        </is>
      </c>
      <c r="B370" s="1" t="n">
        <v>45558</v>
      </c>
      <c r="C370" s="1" t="n">
        <v>45639</v>
      </c>
      <c r="D370" t="inlineStr">
        <is>
          <t>GÄVLEBORGS LÄN</t>
        </is>
      </c>
      <c r="E370" t="inlineStr">
        <is>
          <t>HOFORS</t>
        </is>
      </c>
      <c r="F370" t="inlineStr">
        <is>
          <t>Sveaskog</t>
        </is>
      </c>
      <c r="G370" t="n">
        <v>19.5</v>
      </c>
      <c r="H370" t="n">
        <v>0</v>
      </c>
      <c r="I370" t="n">
        <v>0</v>
      </c>
      <c r="J370" t="n">
        <v>0</v>
      </c>
      <c r="K370" t="n">
        <v>0</v>
      </c>
      <c r="L370" t="n">
        <v>0</v>
      </c>
      <c r="M370" t="n">
        <v>0</v>
      </c>
      <c r="N370" t="n">
        <v>0</v>
      </c>
      <c r="O370" t="n">
        <v>0</v>
      </c>
      <c r="P370" t="n">
        <v>0</v>
      </c>
      <c r="Q370" t="n">
        <v>0</v>
      </c>
      <c r="R370" s="2" t="inlineStr"/>
    </row>
    <row r="371" ht="15" customHeight="1">
      <c r="A371" t="inlineStr">
        <is>
          <t>A 40863-2024</t>
        </is>
      </c>
      <c r="B371" s="1" t="n">
        <v>45558</v>
      </c>
      <c r="C371" s="1" t="n">
        <v>45639</v>
      </c>
      <c r="D371" t="inlineStr">
        <is>
          <t>GÄVLEBORGS LÄN</t>
        </is>
      </c>
      <c r="E371" t="inlineStr">
        <is>
          <t>HOFORS</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43143-2024</t>
        </is>
      </c>
      <c r="B372" s="1" t="n">
        <v>45567</v>
      </c>
      <c r="C372" s="1" t="n">
        <v>45639</v>
      </c>
      <c r="D372" t="inlineStr">
        <is>
          <t>GÄVLEBORGS LÄN</t>
        </is>
      </c>
      <c r="E372" t="inlineStr">
        <is>
          <t>HOFORS</t>
        </is>
      </c>
      <c r="G372" t="n">
        <v>3.3</v>
      </c>
      <c r="H372" t="n">
        <v>0</v>
      </c>
      <c r="I372" t="n">
        <v>0</v>
      </c>
      <c r="J372" t="n">
        <v>0</v>
      </c>
      <c r="K372" t="n">
        <v>0</v>
      </c>
      <c r="L372" t="n">
        <v>0</v>
      </c>
      <c r="M372" t="n">
        <v>0</v>
      </c>
      <c r="N372" t="n">
        <v>0</v>
      </c>
      <c r="O372" t="n">
        <v>0</v>
      </c>
      <c r="P372" t="n">
        <v>0</v>
      </c>
      <c r="Q372" t="n">
        <v>0</v>
      </c>
      <c r="R372" s="2" t="inlineStr"/>
    </row>
    <row r="373" ht="15" customHeight="1">
      <c r="A373" t="inlineStr">
        <is>
          <t>A 45645-2024</t>
        </is>
      </c>
      <c r="B373" s="1" t="n">
        <v>45579</v>
      </c>
      <c r="C373" s="1" t="n">
        <v>45639</v>
      </c>
      <c r="D373" t="inlineStr">
        <is>
          <t>GÄVLEBORGS LÄN</t>
        </is>
      </c>
      <c r="E373" t="inlineStr">
        <is>
          <t>HOFORS</t>
        </is>
      </c>
      <c r="G373" t="n">
        <v>0.7</v>
      </c>
      <c r="H373" t="n">
        <v>0</v>
      </c>
      <c r="I373" t="n">
        <v>0</v>
      </c>
      <c r="J373" t="n">
        <v>0</v>
      </c>
      <c r="K373" t="n">
        <v>0</v>
      </c>
      <c r="L373" t="n">
        <v>0</v>
      </c>
      <c r="M373" t="n">
        <v>0</v>
      </c>
      <c r="N373" t="n">
        <v>0</v>
      </c>
      <c r="O373" t="n">
        <v>0</v>
      </c>
      <c r="P373" t="n">
        <v>0</v>
      </c>
      <c r="Q373" t="n">
        <v>0</v>
      </c>
      <c r="R373" s="2" t="inlineStr"/>
    </row>
    <row r="374" ht="15" customHeight="1">
      <c r="A374" t="inlineStr">
        <is>
          <t>A 47524-2024</t>
        </is>
      </c>
      <c r="B374" s="1" t="n">
        <v>45587</v>
      </c>
      <c r="C374" s="1" t="n">
        <v>45639</v>
      </c>
      <c r="D374" t="inlineStr">
        <is>
          <t>GÄVLEBORGS LÄN</t>
        </is>
      </c>
      <c r="E374" t="inlineStr">
        <is>
          <t>HOFORS</t>
        </is>
      </c>
      <c r="G374" t="n">
        <v>3.1</v>
      </c>
      <c r="H374" t="n">
        <v>0</v>
      </c>
      <c r="I374" t="n">
        <v>0</v>
      </c>
      <c r="J374" t="n">
        <v>0</v>
      </c>
      <c r="K374" t="n">
        <v>0</v>
      </c>
      <c r="L374" t="n">
        <v>0</v>
      </c>
      <c r="M374" t="n">
        <v>0</v>
      </c>
      <c r="N374" t="n">
        <v>0</v>
      </c>
      <c r="O374" t="n">
        <v>0</v>
      </c>
      <c r="P374" t="n">
        <v>0</v>
      </c>
      <c r="Q374" t="n">
        <v>0</v>
      </c>
      <c r="R374" s="2" t="inlineStr"/>
    </row>
    <row r="375" ht="15" customHeight="1">
      <c r="A375" t="inlineStr">
        <is>
          <t>A 47504-2024</t>
        </is>
      </c>
      <c r="B375" s="1" t="n">
        <v>45587</v>
      </c>
      <c r="C375" s="1" t="n">
        <v>45639</v>
      </c>
      <c r="D375" t="inlineStr">
        <is>
          <t>GÄVLEBORGS LÄN</t>
        </is>
      </c>
      <c r="E375" t="inlineStr">
        <is>
          <t>HOFORS</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47495-2024</t>
        </is>
      </c>
      <c r="B376" s="1" t="n">
        <v>45587</v>
      </c>
      <c r="C376" s="1" t="n">
        <v>45639</v>
      </c>
      <c r="D376" t="inlineStr">
        <is>
          <t>GÄVLEBORGS LÄN</t>
        </is>
      </c>
      <c r="E376" t="inlineStr">
        <is>
          <t>HOFORS</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47493-2024</t>
        </is>
      </c>
      <c r="B377" s="1" t="n">
        <v>45587</v>
      </c>
      <c r="C377" s="1" t="n">
        <v>45639</v>
      </c>
      <c r="D377" t="inlineStr">
        <is>
          <t>GÄVLEBORGS LÄN</t>
        </is>
      </c>
      <c r="E377" t="inlineStr">
        <is>
          <t>HOFORS</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47359-2024</t>
        </is>
      </c>
      <c r="B378" s="1" t="n">
        <v>45587</v>
      </c>
      <c r="C378" s="1" t="n">
        <v>45639</v>
      </c>
      <c r="D378" t="inlineStr">
        <is>
          <t>GÄVLEBORGS LÄN</t>
        </is>
      </c>
      <c r="E378" t="inlineStr">
        <is>
          <t>HOFORS</t>
        </is>
      </c>
      <c r="G378" t="n">
        <v>1.2</v>
      </c>
      <c r="H378" t="n">
        <v>0</v>
      </c>
      <c r="I378" t="n">
        <v>0</v>
      </c>
      <c r="J378" t="n">
        <v>0</v>
      </c>
      <c r="K378" t="n">
        <v>0</v>
      </c>
      <c r="L378" t="n">
        <v>0</v>
      </c>
      <c r="M378" t="n">
        <v>0</v>
      </c>
      <c r="N378" t="n">
        <v>0</v>
      </c>
      <c r="O378" t="n">
        <v>0</v>
      </c>
      <c r="P378" t="n">
        <v>0</v>
      </c>
      <c r="Q378" t="n">
        <v>0</v>
      </c>
      <c r="R378" s="2" t="inlineStr"/>
    </row>
    <row r="379" ht="15" customHeight="1">
      <c r="A379" t="inlineStr">
        <is>
          <t>A 48063-2024</t>
        </is>
      </c>
      <c r="B379" s="1" t="n">
        <v>45589</v>
      </c>
      <c r="C379" s="1" t="n">
        <v>45639</v>
      </c>
      <c r="D379" t="inlineStr">
        <is>
          <t>GÄVLEBORGS LÄN</t>
        </is>
      </c>
      <c r="E379" t="inlineStr">
        <is>
          <t>HOFORS</t>
        </is>
      </c>
      <c r="G379" t="n">
        <v>3.9</v>
      </c>
      <c r="H379" t="n">
        <v>0</v>
      </c>
      <c r="I379" t="n">
        <v>0</v>
      </c>
      <c r="J379" t="n">
        <v>0</v>
      </c>
      <c r="K379" t="n">
        <v>0</v>
      </c>
      <c r="L379" t="n">
        <v>0</v>
      </c>
      <c r="M379" t="n">
        <v>0</v>
      </c>
      <c r="N379" t="n">
        <v>0</v>
      </c>
      <c r="O379" t="n">
        <v>0</v>
      </c>
      <c r="P379" t="n">
        <v>0</v>
      </c>
      <c r="Q379" t="n">
        <v>0</v>
      </c>
      <c r="R379" s="2" t="inlineStr"/>
    </row>
    <row r="380" ht="15" customHeight="1">
      <c r="A380" t="inlineStr">
        <is>
          <t>A 48844-2024</t>
        </is>
      </c>
      <c r="B380" s="1" t="n">
        <v>45593</v>
      </c>
      <c r="C380" s="1" t="n">
        <v>45639</v>
      </c>
      <c r="D380" t="inlineStr">
        <is>
          <t>GÄVLEBORGS LÄN</t>
        </is>
      </c>
      <c r="E380" t="inlineStr">
        <is>
          <t>HOFORS</t>
        </is>
      </c>
      <c r="G380" t="n">
        <v>2.3</v>
      </c>
      <c r="H380" t="n">
        <v>0</v>
      </c>
      <c r="I380" t="n">
        <v>0</v>
      </c>
      <c r="J380" t="n">
        <v>0</v>
      </c>
      <c r="K380" t="n">
        <v>0</v>
      </c>
      <c r="L380" t="n">
        <v>0</v>
      </c>
      <c r="M380" t="n">
        <v>0</v>
      </c>
      <c r="N380" t="n">
        <v>0</v>
      </c>
      <c r="O380" t="n">
        <v>0</v>
      </c>
      <c r="P380" t="n">
        <v>0</v>
      </c>
      <c r="Q380" t="n">
        <v>0</v>
      </c>
      <c r="R380" s="2" t="inlineStr"/>
    </row>
    <row r="381" ht="15" customHeight="1">
      <c r="A381" t="inlineStr">
        <is>
          <t>A 49083-2024</t>
        </is>
      </c>
      <c r="B381" s="1" t="n">
        <v>45594</v>
      </c>
      <c r="C381" s="1" t="n">
        <v>45639</v>
      </c>
      <c r="D381" t="inlineStr">
        <is>
          <t>GÄVLEBORGS LÄN</t>
        </is>
      </c>
      <c r="E381" t="inlineStr">
        <is>
          <t>HOFORS</t>
        </is>
      </c>
      <c r="G381" t="n">
        <v>0.8</v>
      </c>
      <c r="H381" t="n">
        <v>0</v>
      </c>
      <c r="I381" t="n">
        <v>0</v>
      </c>
      <c r="J381" t="n">
        <v>0</v>
      </c>
      <c r="K381" t="n">
        <v>0</v>
      </c>
      <c r="L381" t="n">
        <v>0</v>
      </c>
      <c r="M381" t="n">
        <v>0</v>
      </c>
      <c r="N381" t="n">
        <v>0</v>
      </c>
      <c r="O381" t="n">
        <v>0</v>
      </c>
      <c r="P381" t="n">
        <v>0</v>
      </c>
      <c r="Q381" t="n">
        <v>0</v>
      </c>
      <c r="R381" s="2" t="inlineStr"/>
    </row>
    <row r="382" ht="15" customHeight="1">
      <c r="A382" t="inlineStr">
        <is>
          <t>A 49815-2024</t>
        </is>
      </c>
      <c r="B382" s="1" t="n">
        <v>45597</v>
      </c>
      <c r="C382" s="1" t="n">
        <v>45639</v>
      </c>
      <c r="D382" t="inlineStr">
        <is>
          <t>GÄVLEBORGS LÄN</t>
        </is>
      </c>
      <c r="E382" t="inlineStr">
        <is>
          <t>HOFORS</t>
        </is>
      </c>
      <c r="G382" t="n">
        <v>0.9</v>
      </c>
      <c r="H382" t="n">
        <v>0</v>
      </c>
      <c r="I382" t="n">
        <v>0</v>
      </c>
      <c r="J382" t="n">
        <v>0</v>
      </c>
      <c r="K382" t="n">
        <v>0</v>
      </c>
      <c r="L382" t="n">
        <v>0</v>
      </c>
      <c r="M382" t="n">
        <v>0</v>
      </c>
      <c r="N382" t="n">
        <v>0</v>
      </c>
      <c r="O382" t="n">
        <v>0</v>
      </c>
      <c r="P382" t="n">
        <v>0</v>
      </c>
      <c r="Q382" t="n">
        <v>0</v>
      </c>
      <c r="R382" s="2" t="inlineStr"/>
    </row>
    <row r="383" ht="15" customHeight="1">
      <c r="A383" t="inlineStr">
        <is>
          <t>A 53517-2024</t>
        </is>
      </c>
      <c r="B383" s="1" t="n">
        <v>45614</v>
      </c>
      <c r="C383" s="1" t="n">
        <v>45639</v>
      </c>
      <c r="D383" t="inlineStr">
        <is>
          <t>GÄVLEBORGS LÄN</t>
        </is>
      </c>
      <c r="E383" t="inlineStr">
        <is>
          <t>HOFORS</t>
        </is>
      </c>
      <c r="G383" t="n">
        <v>1</v>
      </c>
      <c r="H383" t="n">
        <v>0</v>
      </c>
      <c r="I383" t="n">
        <v>0</v>
      </c>
      <c r="J383" t="n">
        <v>0</v>
      </c>
      <c r="K383" t="n">
        <v>0</v>
      </c>
      <c r="L383" t="n">
        <v>0</v>
      </c>
      <c r="M383" t="n">
        <v>0</v>
      </c>
      <c r="N383" t="n">
        <v>0</v>
      </c>
      <c r="O383" t="n">
        <v>0</v>
      </c>
      <c r="P383" t="n">
        <v>0</v>
      </c>
      <c r="Q383" t="n">
        <v>0</v>
      </c>
      <c r="R383" s="2" t="inlineStr"/>
    </row>
    <row r="384" ht="15" customHeight="1">
      <c r="A384" t="inlineStr">
        <is>
          <t>A 53521-2024</t>
        </is>
      </c>
      <c r="B384" s="1" t="n">
        <v>45614</v>
      </c>
      <c r="C384" s="1" t="n">
        <v>45639</v>
      </c>
      <c r="D384" t="inlineStr">
        <is>
          <t>GÄVLEBORGS LÄN</t>
        </is>
      </c>
      <c r="E384" t="inlineStr">
        <is>
          <t>HOFORS</t>
        </is>
      </c>
      <c r="G384" t="n">
        <v>2.2</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45639</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53385-2024</t>
        </is>
      </c>
      <c r="B386" s="1" t="n">
        <v>45614</v>
      </c>
      <c r="C386" s="1" t="n">
        <v>45639</v>
      </c>
      <c r="D386" t="inlineStr">
        <is>
          <t>GÄVLEBORGS LÄN</t>
        </is>
      </c>
      <c r="E386" t="inlineStr">
        <is>
          <t>HOFORS</t>
        </is>
      </c>
      <c r="F386" t="inlineStr">
        <is>
          <t>Övriga statliga verk och myndigheter</t>
        </is>
      </c>
      <c r="G386" t="n">
        <v>3.4</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45639</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54578-2024</t>
        </is>
      </c>
      <c r="B388" s="1" t="n">
        <v>45617</v>
      </c>
      <c r="C388" s="1" t="n">
        <v>45639</v>
      </c>
      <c r="D388" t="inlineStr">
        <is>
          <t>GÄVLEBORGS LÄN</t>
        </is>
      </c>
      <c r="E388" t="inlineStr">
        <is>
          <t>HOFORS</t>
        </is>
      </c>
      <c r="G388" t="n">
        <v>3.9</v>
      </c>
      <c r="H388" t="n">
        <v>0</v>
      </c>
      <c r="I388" t="n">
        <v>0</v>
      </c>
      <c r="J388" t="n">
        <v>0</v>
      </c>
      <c r="K388" t="n">
        <v>0</v>
      </c>
      <c r="L388" t="n">
        <v>0</v>
      </c>
      <c r="M388" t="n">
        <v>0</v>
      </c>
      <c r="N388" t="n">
        <v>0</v>
      </c>
      <c r="O388" t="n">
        <v>0</v>
      </c>
      <c r="P388" t="n">
        <v>0</v>
      </c>
      <c r="Q388" t="n">
        <v>0</v>
      </c>
      <c r="R388" s="2" t="inlineStr"/>
    </row>
    <row r="389" ht="15" customHeight="1">
      <c r="A389" t="inlineStr">
        <is>
          <t>A 55127-2024</t>
        </is>
      </c>
      <c r="B389" s="1" t="n">
        <v>45621</v>
      </c>
      <c r="C389" s="1" t="n">
        <v>45639</v>
      </c>
      <c r="D389" t="inlineStr">
        <is>
          <t>GÄVLEBORGS LÄN</t>
        </is>
      </c>
      <c r="E389" t="inlineStr">
        <is>
          <t>HOFORS</t>
        </is>
      </c>
      <c r="G389" t="n">
        <v>5.1</v>
      </c>
      <c r="H389" t="n">
        <v>0</v>
      </c>
      <c r="I389" t="n">
        <v>0</v>
      </c>
      <c r="J389" t="n">
        <v>0</v>
      </c>
      <c r="K389" t="n">
        <v>0</v>
      </c>
      <c r="L389" t="n">
        <v>0</v>
      </c>
      <c r="M389" t="n">
        <v>0</v>
      </c>
      <c r="N389" t="n">
        <v>0</v>
      </c>
      <c r="O389" t="n">
        <v>0</v>
      </c>
      <c r="P389" t="n">
        <v>0</v>
      </c>
      <c r="Q389" t="n">
        <v>0</v>
      </c>
      <c r="R389" s="2" t="inlineStr"/>
    </row>
    <row r="390" ht="15" customHeight="1">
      <c r="A390" t="inlineStr">
        <is>
          <t>A 56147-2024</t>
        </is>
      </c>
      <c r="B390" s="1" t="n">
        <v>45624</v>
      </c>
      <c r="C390" s="1" t="n">
        <v>45639</v>
      </c>
      <c r="D390" t="inlineStr">
        <is>
          <t>GÄVLEBORGS LÄN</t>
        </is>
      </c>
      <c r="E390" t="inlineStr">
        <is>
          <t>HOFORS</t>
        </is>
      </c>
      <c r="G390" t="n">
        <v>4.1</v>
      </c>
      <c r="H390" t="n">
        <v>0</v>
      </c>
      <c r="I390" t="n">
        <v>0</v>
      </c>
      <c r="J390" t="n">
        <v>0</v>
      </c>
      <c r="K390" t="n">
        <v>0</v>
      </c>
      <c r="L390" t="n">
        <v>0</v>
      </c>
      <c r="M390" t="n">
        <v>0</v>
      </c>
      <c r="N390" t="n">
        <v>0</v>
      </c>
      <c r="O390" t="n">
        <v>0</v>
      </c>
      <c r="P390" t="n">
        <v>0</v>
      </c>
      <c r="Q390" t="n">
        <v>0</v>
      </c>
      <c r="R390" s="2" t="inlineStr"/>
    </row>
    <row r="391" ht="15" customHeight="1">
      <c r="A391" t="inlineStr">
        <is>
          <t>A 57399-2024</t>
        </is>
      </c>
      <c r="B391" s="1" t="n">
        <v>45629</v>
      </c>
      <c r="C391" s="1" t="n">
        <v>45639</v>
      </c>
      <c r="D391" t="inlineStr">
        <is>
          <t>GÄVLEBORGS LÄN</t>
        </is>
      </c>
      <c r="E391" t="inlineStr">
        <is>
          <t>HOFORS</t>
        </is>
      </c>
      <c r="G391" t="n">
        <v>3.4</v>
      </c>
      <c r="H391" t="n">
        <v>0</v>
      </c>
      <c r="I391" t="n">
        <v>0</v>
      </c>
      <c r="J391" t="n">
        <v>0</v>
      </c>
      <c r="K391" t="n">
        <v>0</v>
      </c>
      <c r="L391" t="n">
        <v>0</v>
      </c>
      <c r="M391" t="n">
        <v>0</v>
      </c>
      <c r="N391" t="n">
        <v>0</v>
      </c>
      <c r="O391" t="n">
        <v>0</v>
      </c>
      <c r="P391" t="n">
        <v>0</v>
      </c>
      <c r="Q391" t="n">
        <v>0</v>
      </c>
      <c r="R391" s="2" t="inlineStr"/>
    </row>
    <row r="392" ht="15" customHeight="1">
      <c r="A392" t="inlineStr">
        <is>
          <t>A 57400-2024</t>
        </is>
      </c>
      <c r="B392" s="1" t="n">
        <v>45629</v>
      </c>
      <c r="C392" s="1" t="n">
        <v>45639</v>
      </c>
      <c r="D392" t="inlineStr">
        <is>
          <t>GÄVLEBORGS LÄN</t>
        </is>
      </c>
      <c r="E392" t="inlineStr">
        <is>
          <t>HOFORS</t>
        </is>
      </c>
      <c r="G392" t="n">
        <v>2.7</v>
      </c>
      <c r="H392" t="n">
        <v>0</v>
      </c>
      <c r="I392" t="n">
        <v>0</v>
      </c>
      <c r="J392" t="n">
        <v>0</v>
      </c>
      <c r="K392" t="n">
        <v>0</v>
      </c>
      <c r="L392" t="n">
        <v>0</v>
      </c>
      <c r="M392" t="n">
        <v>0</v>
      </c>
      <c r="N392" t="n">
        <v>0</v>
      </c>
      <c r="O392" t="n">
        <v>0</v>
      </c>
      <c r="P392" t="n">
        <v>0</v>
      </c>
      <c r="Q392" t="n">
        <v>0</v>
      </c>
      <c r="R392" s="2" t="inlineStr"/>
    </row>
    <row r="393" ht="15" customHeight="1">
      <c r="A393" t="inlineStr">
        <is>
          <t>A 57751-2024</t>
        </is>
      </c>
      <c r="B393" s="1" t="n">
        <v>45630</v>
      </c>
      <c r="C393" s="1" t="n">
        <v>45639</v>
      </c>
      <c r="D393" t="inlineStr">
        <is>
          <t>GÄVLEBORGS LÄN</t>
        </is>
      </c>
      <c r="E393" t="inlineStr">
        <is>
          <t>HOFORS</t>
        </is>
      </c>
      <c r="G393" t="n">
        <v>1.8</v>
      </c>
      <c r="H393" t="n">
        <v>0</v>
      </c>
      <c r="I393" t="n">
        <v>0</v>
      </c>
      <c r="J393" t="n">
        <v>0</v>
      </c>
      <c r="K393" t="n">
        <v>0</v>
      </c>
      <c r="L393" t="n">
        <v>0</v>
      </c>
      <c r="M393" t="n">
        <v>0</v>
      </c>
      <c r="N393" t="n">
        <v>0</v>
      </c>
      <c r="O393" t="n">
        <v>0</v>
      </c>
      <c r="P393" t="n">
        <v>0</v>
      </c>
      <c r="Q393" t="n">
        <v>0</v>
      </c>
      <c r="R393" s="2" t="inlineStr"/>
    </row>
    <row r="394">
      <c r="A394" t="inlineStr">
        <is>
          <t>A 59130-2024</t>
        </is>
      </c>
      <c r="B394" s="1" t="n">
        <v>45637</v>
      </c>
      <c r="C394" s="1" t="n">
        <v>45639</v>
      </c>
      <c r="D394" t="inlineStr">
        <is>
          <t>GÄVLEBORGS LÄN</t>
        </is>
      </c>
      <c r="E394" t="inlineStr">
        <is>
          <t>HOFORS</t>
        </is>
      </c>
      <c r="G394" t="n">
        <v>1.1</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2024-12-13T15:23:24Z</dcterms:created>
  <dcterms:modified xmlns:dcterms="http://purl.org/dc/terms/" xmlns:xsi="http://www.w3.org/2001/XMLSchema-instance" xsi:type="dcterms:W3CDTF">2024-12-13T15:23:25Z</dcterms:modified>
</cp:coreProperties>
</file>