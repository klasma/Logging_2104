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46188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46188</v>
      </c>
      <c r="D3" t="inlineStr">
        <is>
          <t>GÄVLEBORGS LÄN</t>
        </is>
      </c>
      <c r="E3" t="inlineStr">
        <is>
          <t>HOFORS</t>
        </is>
      </c>
      <c r="G3" t="n">
        <v>5.6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46188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23601-2026</t>
        </is>
      </c>
      <c r="B5" s="1" t="n">
        <v>46163</v>
      </c>
      <c r="C5" s="1" t="n">
        <v>46188</v>
      </c>
      <c r="D5" t="inlineStr">
        <is>
          <t>GÄVLEBORGS LÄN</t>
        </is>
      </c>
      <c r="E5" t="inlineStr">
        <is>
          <t>HOFORS</t>
        </is>
      </c>
      <c r="G5" t="n">
        <v>2.7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Tretåig hackspett
Ullticka
Vedtrappmossa
Kantarellvaxing
Vedticka</t>
        </is>
      </c>
      <c r="S5">
        <f>HYPERLINK("https://klasma.github.io/Logging_2104/artfynd/A 23601-2026 artfynd.xlsx", "A 23601-2026")</f>
        <v/>
      </c>
      <c r="T5">
        <f>HYPERLINK("https://klasma.github.io/Logging_2104/kartor/A 23601-2026 karta.png", "A 23601-2026")</f>
        <v/>
      </c>
      <c r="U5">
        <f>HYPERLINK("https://klasma.github.io/Logging_2104/knärot/A 23601-2026 karta knärot.png", "A 23601-2026")</f>
        <v/>
      </c>
      <c r="V5">
        <f>HYPERLINK("https://klasma.github.io/Logging_2104/klagomål/A 23601-2026 FSC-klagomål.docx", "A 23601-2026")</f>
        <v/>
      </c>
      <c r="W5">
        <f>HYPERLINK("https://klasma.github.io/Logging_2104/klagomålsmail/A 23601-2026 FSC-klagomål mail.docx", "A 23601-2026")</f>
        <v/>
      </c>
      <c r="X5">
        <f>HYPERLINK("https://klasma.github.io/Logging_2104/tillsyn/A 23601-2026 tillsynsbegäran.docx", "A 23601-2026")</f>
        <v/>
      </c>
      <c r="Y5">
        <f>HYPERLINK("https://klasma.github.io/Logging_2104/tillsynsmail/A 23601-2026 tillsynsbegäran mail.docx", "A 23601-2026")</f>
        <v/>
      </c>
      <c r="Z5">
        <f>HYPERLINK("https://klasma.github.io/Logging_2104/fåglar/A 23601-2026 prioriterade fågelarter.docx", "A 23601-2026")</f>
        <v/>
      </c>
    </row>
    <row r="6" ht="15" customHeight="1">
      <c r="A6" t="inlineStr">
        <is>
          <t>A 23595-2026</t>
        </is>
      </c>
      <c r="B6" s="1" t="n">
        <v>46163.64277777778</v>
      </c>
      <c r="C6" s="1" t="n">
        <v>46188</v>
      </c>
      <c r="D6" t="inlineStr">
        <is>
          <t>GÄVLEBORGS LÄN</t>
        </is>
      </c>
      <c r="E6" t="inlineStr">
        <is>
          <t>HOFORS</t>
        </is>
      </c>
      <c r="G6" t="n">
        <v>2.7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Tretåig hackspett
Ullticka
Vedtrappmossa
Kantarellvaxing
Vedticka</t>
        </is>
      </c>
      <c r="S6">
        <f>HYPERLINK("https://klasma.github.io/Logging_2104/artfynd/A 23595-2026 artfynd.xlsx", "A 23595-2026")</f>
        <v/>
      </c>
      <c r="T6">
        <f>HYPERLINK("https://klasma.github.io/Logging_2104/kartor/A 23595-2026 karta.png", "A 23595-2026")</f>
        <v/>
      </c>
      <c r="U6">
        <f>HYPERLINK("https://klasma.github.io/Logging_2104/knärot/A 23595-2026 karta knärot.png", "A 23595-2026")</f>
        <v/>
      </c>
      <c r="V6">
        <f>HYPERLINK("https://klasma.github.io/Logging_2104/klagomål/A 23595-2026 FSC-klagomål.docx", "A 23595-2026")</f>
        <v/>
      </c>
      <c r="W6">
        <f>HYPERLINK("https://klasma.github.io/Logging_2104/klagomålsmail/A 23595-2026 FSC-klagomål mail.docx", "A 23595-2026")</f>
        <v/>
      </c>
      <c r="X6">
        <f>HYPERLINK("https://klasma.github.io/Logging_2104/tillsyn/A 23595-2026 tillsynsbegäran.docx", "A 23595-2026")</f>
        <v/>
      </c>
      <c r="Y6">
        <f>HYPERLINK("https://klasma.github.io/Logging_2104/tillsynsmail/A 23595-2026 tillsynsbegäran mail.docx", "A 23595-2026")</f>
        <v/>
      </c>
      <c r="Z6">
        <f>HYPERLINK("https://klasma.github.io/Logging_2104/fåglar/A 23595-2026 prioriterade fågelarter.docx", "A 23595-2026")</f>
        <v/>
      </c>
    </row>
    <row r="7" ht="15" customHeight="1">
      <c r="A7" t="inlineStr">
        <is>
          <t>A 38738-2023</t>
        </is>
      </c>
      <c r="B7" s="1" t="n">
        <v>45163</v>
      </c>
      <c r="C7" s="1" t="n">
        <v>46188</v>
      </c>
      <c r="D7" t="inlineStr">
        <is>
          <t>GÄVLEBORGS LÄN</t>
        </is>
      </c>
      <c r="E7" t="inlineStr">
        <is>
          <t>HOFORS</t>
        </is>
      </c>
      <c r="F7" t="inlineStr">
        <is>
          <t>Kyrkan</t>
        </is>
      </c>
      <c r="G7" t="n">
        <v>1.3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Svartvit taggsvamp
Fjällig taggsvamp s.str.
Grönpyrola</t>
        </is>
      </c>
      <c r="S7">
        <f>HYPERLINK("https://klasma.github.io/Logging_2104/artfynd/A 38738-2023 artfynd.xlsx", "A 38738-2023")</f>
        <v/>
      </c>
      <c r="T7">
        <f>HYPERLINK("https://klasma.github.io/Logging_2104/kartor/A 38738-2023 karta.png", "A 38738-2023")</f>
        <v/>
      </c>
      <c r="U7">
        <f>HYPERLINK("https://klasma.github.io/Logging_2104/knärot/A 38738-2023 karta knärot.png", "A 38738-2023")</f>
        <v/>
      </c>
      <c r="V7">
        <f>HYPERLINK("https://klasma.github.io/Logging_2104/klagomål/A 38738-2023 FSC-klagomål.docx", "A 38738-2023")</f>
        <v/>
      </c>
      <c r="W7">
        <f>HYPERLINK("https://klasma.github.io/Logging_2104/klagomålsmail/A 38738-2023 FSC-klagomål mail.docx", "A 38738-2023")</f>
        <v/>
      </c>
      <c r="X7">
        <f>HYPERLINK("https://klasma.github.io/Logging_2104/tillsyn/A 38738-2023 tillsynsbegäran.docx", "A 38738-2023")</f>
        <v/>
      </c>
      <c r="Y7">
        <f>HYPERLINK("https://klasma.github.io/Logging_2104/tillsynsmail/A 38738-2023 tillsynsbegäran mail.docx", "A 38738-2023")</f>
        <v/>
      </c>
    </row>
    <row r="8" ht="15" customHeight="1">
      <c r="A8" t="inlineStr">
        <is>
          <t>A 22269-2026</t>
        </is>
      </c>
      <c r="B8" s="1" t="n">
        <v>46154.40104166666</v>
      </c>
      <c r="C8" s="1" t="n">
        <v>46188</v>
      </c>
      <c r="D8" t="inlineStr">
        <is>
          <t>GÄVLEBORGS LÄN</t>
        </is>
      </c>
      <c r="E8" t="inlineStr">
        <is>
          <t>HOFORS</t>
        </is>
      </c>
      <c r="G8" t="n">
        <v>1.1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Mindre märgborre
Blåsippa</t>
        </is>
      </c>
      <c r="S8">
        <f>HYPERLINK("https://klasma.github.io/Logging_2104/artfynd/A 22269-2026 artfynd.xlsx", "A 22269-2026")</f>
        <v/>
      </c>
      <c r="T8">
        <f>HYPERLINK("https://klasma.github.io/Logging_2104/kartor/A 22269-2026 karta.png", "A 22269-2026")</f>
        <v/>
      </c>
      <c r="U8">
        <f>HYPERLINK("https://klasma.github.io/Logging_2104/knärot/A 22269-2026 karta knärot.png", "A 22269-2026")</f>
        <v/>
      </c>
      <c r="V8">
        <f>HYPERLINK("https://klasma.github.io/Logging_2104/klagomål/A 22269-2026 FSC-klagomål.docx", "A 22269-2026")</f>
        <v/>
      </c>
      <c r="W8">
        <f>HYPERLINK("https://klasma.github.io/Logging_2104/klagomålsmail/A 22269-2026 FSC-klagomål mail.docx", "A 22269-2026")</f>
        <v/>
      </c>
      <c r="X8">
        <f>HYPERLINK("https://klasma.github.io/Logging_2104/tillsyn/A 22269-2026 tillsynsbegäran.docx", "A 22269-2026")</f>
        <v/>
      </c>
      <c r="Y8">
        <f>HYPERLINK("https://klasma.github.io/Logging_2104/tillsynsmail/A 22269-2026 tillsynsbegäran mail.docx", "A 22269-2026")</f>
        <v/>
      </c>
    </row>
    <row r="9" ht="15" customHeight="1">
      <c r="A9" t="inlineStr">
        <is>
          <t>A 17216-2026</t>
        </is>
      </c>
      <c r="B9" s="1" t="n">
        <v>46119.36532407408</v>
      </c>
      <c r="C9" s="1" t="n">
        <v>46188</v>
      </c>
      <c r="D9" t="inlineStr">
        <is>
          <t>GÄVLEBORGS LÄN</t>
        </is>
      </c>
      <c r="E9" t="inlineStr">
        <is>
          <t>HOFORS</t>
        </is>
      </c>
      <c r="G9" t="n">
        <v>1.9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Blodticka
Svavelriska</t>
        </is>
      </c>
      <c r="S9">
        <f>HYPERLINK("https://klasma.github.io/Logging_2104/artfynd/A 17216-2026 artfynd.xlsx", "A 17216-2026")</f>
        <v/>
      </c>
      <c r="T9">
        <f>HYPERLINK("https://klasma.github.io/Logging_2104/kartor/A 17216-2026 karta.png", "A 17216-2026")</f>
        <v/>
      </c>
      <c r="U9">
        <f>HYPERLINK("https://klasma.github.io/Logging_2104/knärot/A 17216-2026 karta knärot.png", "A 17216-2026")</f>
        <v/>
      </c>
      <c r="V9">
        <f>HYPERLINK("https://klasma.github.io/Logging_2104/klagomål/A 17216-2026 FSC-klagomål.docx", "A 17216-2026")</f>
        <v/>
      </c>
      <c r="W9">
        <f>HYPERLINK("https://klasma.github.io/Logging_2104/klagomålsmail/A 17216-2026 FSC-klagomål mail.docx", "A 17216-2026")</f>
        <v/>
      </c>
      <c r="X9">
        <f>HYPERLINK("https://klasma.github.io/Logging_2104/tillsyn/A 17216-2026 tillsynsbegäran.docx", "A 17216-2026")</f>
        <v/>
      </c>
      <c r="Y9">
        <f>HYPERLINK("https://klasma.github.io/Logging_2104/tillsynsmail/A 17216-2026 tillsynsbegäran mail.docx", "A 17216-2026")</f>
        <v/>
      </c>
    </row>
    <row r="10" ht="15" customHeight="1">
      <c r="A10" t="inlineStr">
        <is>
          <t>A 10436-2022</t>
        </is>
      </c>
      <c r="B10" s="1" t="n">
        <v>44623</v>
      </c>
      <c r="C10" s="1" t="n">
        <v>46188</v>
      </c>
      <c r="D10" t="inlineStr">
        <is>
          <t>GÄVLEBORGS LÄN</t>
        </is>
      </c>
      <c r="E10" t="inlineStr">
        <is>
          <t>HOFORS</t>
        </is>
      </c>
      <c r="G10" t="n">
        <v>6.3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Vedticka</t>
        </is>
      </c>
      <c r="S10">
        <f>HYPERLINK("https://klasma.github.io/Logging_2104/artfynd/A 10436-2022 artfynd.xlsx", "A 10436-2022")</f>
        <v/>
      </c>
      <c r="T10">
        <f>HYPERLINK("https://klasma.github.io/Logging_2104/kartor/A 10436-2022 karta.png", "A 10436-2022")</f>
        <v/>
      </c>
      <c r="U10">
        <f>HYPERLINK("https://klasma.github.io/Logging_2104/knärot/A 10436-2022 karta knärot.png", "A 10436-2022")</f>
        <v/>
      </c>
      <c r="V10">
        <f>HYPERLINK("https://klasma.github.io/Logging_2104/klagomål/A 10436-2022 FSC-klagomål.docx", "A 10436-2022")</f>
        <v/>
      </c>
      <c r="W10">
        <f>HYPERLINK("https://klasma.github.io/Logging_2104/klagomålsmail/A 10436-2022 FSC-klagomål mail.docx", "A 10436-2022")</f>
        <v/>
      </c>
      <c r="X10">
        <f>HYPERLINK("https://klasma.github.io/Logging_2104/tillsyn/A 10436-2022 tillsynsbegäran.docx", "A 10436-2022")</f>
        <v/>
      </c>
      <c r="Y10">
        <f>HYPERLINK("https://klasma.github.io/Logging_2104/tillsynsmail/A 10436-2022 tillsynsbegäran mail.docx", "A 10436-2022")</f>
        <v/>
      </c>
    </row>
    <row r="11" ht="15" customHeight="1">
      <c r="A11" t="inlineStr">
        <is>
          <t>A 38855-2022</t>
        </is>
      </c>
      <c r="B11" s="1" t="n">
        <v>44816</v>
      </c>
      <c r="C11" s="1" t="n">
        <v>46188</v>
      </c>
      <c r="D11" t="inlineStr">
        <is>
          <t>GÄVLEBORGS LÄN</t>
        </is>
      </c>
      <c r="E11" t="inlineStr">
        <is>
          <t>HOFORS</t>
        </is>
      </c>
      <c r="G11" t="n">
        <v>7.1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Blåsippa</t>
        </is>
      </c>
      <c r="S11">
        <f>HYPERLINK("https://klasma.github.io/Logging_2104/artfynd/A 38855-2022 artfynd.xlsx", "A 38855-2022")</f>
        <v/>
      </c>
      <c r="T11">
        <f>HYPERLINK("https://klasma.github.io/Logging_2104/kartor/A 38855-2022 karta.png", "A 38855-2022")</f>
        <v/>
      </c>
      <c r="U11">
        <f>HYPERLINK("https://klasma.github.io/Logging_2104/knärot/A 38855-2022 karta knärot.png", "A 38855-2022")</f>
        <v/>
      </c>
      <c r="V11">
        <f>HYPERLINK("https://klasma.github.io/Logging_2104/klagomål/A 38855-2022 FSC-klagomål.docx", "A 38855-2022")</f>
        <v/>
      </c>
      <c r="W11">
        <f>HYPERLINK("https://klasma.github.io/Logging_2104/klagomålsmail/A 38855-2022 FSC-klagomål mail.docx", "A 38855-2022")</f>
        <v/>
      </c>
      <c r="X11">
        <f>HYPERLINK("https://klasma.github.io/Logging_2104/tillsyn/A 38855-2022 tillsynsbegäran.docx", "A 38855-2022")</f>
        <v/>
      </c>
      <c r="Y11">
        <f>HYPERLINK("https://klasma.github.io/Logging_2104/tillsynsmail/A 38855-2022 tillsynsbegäran mail.docx", "A 38855-2022")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46188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46188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46188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46188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46188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46188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46188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46188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40393-2025</t>
        </is>
      </c>
      <c r="B20" s="1" t="n">
        <v>45895.55646990741</v>
      </c>
      <c r="C20" s="1" t="n">
        <v>46188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HYPERLINK("https://klasma.github.io/Logging_2104/artfynd/A 40393-2025 artfynd.xlsx", "A 40393-2025")</f>
        <v/>
      </c>
      <c r="T20">
        <f>HYPERLINK("https://klasma.github.io/Logging_2104/kartor/A 40393-2025 karta.png", "A 40393-2025")</f>
        <v/>
      </c>
      <c r="V20">
        <f>HYPERLINK("https://klasma.github.io/Logging_2104/klagomål/A 40393-2025 FSC-klagomål.docx", "A 40393-2025")</f>
        <v/>
      </c>
      <c r="W20">
        <f>HYPERLINK("https://klasma.github.io/Logging_2104/klagomålsmail/A 40393-2025 FSC-klagomål mail.docx", "A 40393-2025")</f>
        <v/>
      </c>
      <c r="X20">
        <f>HYPERLINK("https://klasma.github.io/Logging_2104/tillsyn/A 40393-2025 tillsynsbegäran.docx", "A 40393-2025")</f>
        <v/>
      </c>
      <c r="Y20">
        <f>HYPERLINK("https://klasma.github.io/Logging_2104/tillsynsmail/A 40393-2025 tillsynsbegäran mail.docx", "A 40393-2025")</f>
        <v/>
      </c>
    </row>
    <row r="21" ht="15" customHeight="1">
      <c r="A21" t="inlineStr">
        <is>
          <t>A 40401-2025</t>
        </is>
      </c>
      <c r="B21" s="1" t="n">
        <v>45895.56739583334</v>
      </c>
      <c r="C21" s="1" t="n">
        <v>46188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HYPERLINK("https://klasma.github.io/Logging_2104/artfynd/A 40401-2025 artfynd.xlsx", "A 40401-2025")</f>
        <v/>
      </c>
      <c r="T21">
        <f>HYPERLINK("https://klasma.github.io/Logging_2104/kartor/A 40401-2025 karta.png", "A 40401-2025")</f>
        <v/>
      </c>
      <c r="V21">
        <f>HYPERLINK("https://klasma.github.io/Logging_2104/klagomål/A 40401-2025 FSC-klagomål.docx", "A 40401-2025")</f>
        <v/>
      </c>
      <c r="W21">
        <f>HYPERLINK("https://klasma.github.io/Logging_2104/klagomålsmail/A 40401-2025 FSC-klagomål mail.docx", "A 40401-2025")</f>
        <v/>
      </c>
      <c r="X21">
        <f>HYPERLINK("https://klasma.github.io/Logging_2104/tillsyn/A 40401-2025 tillsynsbegäran.docx", "A 40401-2025")</f>
        <v/>
      </c>
      <c r="Y21">
        <f>HYPERLINK("https://klasma.github.io/Logging_2104/tillsynsmail/A 40401-2025 tillsynsbegäran mail.docx", "A 40401-2025")</f>
        <v/>
      </c>
    </row>
    <row r="22" ht="15" customHeight="1">
      <c r="A22" t="inlineStr">
        <is>
          <t>A 186-2026</t>
        </is>
      </c>
      <c r="B22" s="1" t="n">
        <v>46025.54315972222</v>
      </c>
      <c r="C22" s="1" t="n">
        <v>46188</v>
      </c>
      <c r="D22" t="inlineStr">
        <is>
          <t>GÄVLEBORGS LÄN</t>
        </is>
      </c>
      <c r="E22" t="inlineStr">
        <is>
          <t>HOFORS</t>
        </is>
      </c>
      <c r="G22" t="n">
        <v>6.7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186-2026 artfynd.xlsx", "A 186-2026")</f>
        <v/>
      </c>
      <c r="T22">
        <f>HYPERLINK("https://klasma.github.io/Logging_2104/kartor/A 186-2026 karta.png", "A 186-2026")</f>
        <v/>
      </c>
      <c r="U22">
        <f>HYPERLINK("https://klasma.github.io/Logging_2104/knärot/A 186-2026 karta knärot.png", "A 186-2026")</f>
        <v/>
      </c>
      <c r="V22">
        <f>HYPERLINK("https://klasma.github.io/Logging_2104/klagomål/A 186-2026 FSC-klagomål.docx", "A 186-2026")</f>
        <v/>
      </c>
      <c r="W22">
        <f>HYPERLINK("https://klasma.github.io/Logging_2104/klagomålsmail/A 186-2026 FSC-klagomål mail.docx", "A 186-2026")</f>
        <v/>
      </c>
      <c r="X22">
        <f>HYPERLINK("https://klasma.github.io/Logging_2104/tillsyn/A 186-2026 tillsynsbegäran.docx", "A 186-2026")</f>
        <v/>
      </c>
      <c r="Y22">
        <f>HYPERLINK("https://klasma.github.io/Logging_2104/tillsynsmail/A 186-2026 tillsynsbegäran mail.docx", "A 186-2026")</f>
        <v/>
      </c>
    </row>
    <row r="23" ht="15" customHeight="1">
      <c r="A23" t="inlineStr">
        <is>
          <t>A 234-2023</t>
        </is>
      </c>
      <c r="B23" s="1" t="n">
        <v>44928.66260416667</v>
      </c>
      <c r="C23" s="1" t="n">
        <v>46188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234-2023 artfynd.xlsx", "A 234-2023")</f>
        <v/>
      </c>
      <c r="T23">
        <f>HYPERLINK("https://klasma.github.io/Logging_2104/kartor/A 234-2023 karta.png", "A 234-2023")</f>
        <v/>
      </c>
      <c r="U23">
        <f>HYPERLINK("https://klasma.github.io/Logging_2104/knärot/A 234-2023 karta knärot.png", "A 234-2023")</f>
        <v/>
      </c>
      <c r="V23">
        <f>HYPERLINK("https://klasma.github.io/Logging_2104/klagomål/A 234-2023 FSC-klagomål.docx", "A 234-2023")</f>
        <v/>
      </c>
      <c r="W23">
        <f>HYPERLINK("https://klasma.github.io/Logging_2104/klagomålsmail/A 234-2023 FSC-klagomål mail.docx", "A 234-2023")</f>
        <v/>
      </c>
      <c r="X23">
        <f>HYPERLINK("https://klasma.github.io/Logging_2104/tillsyn/A 234-2023 tillsynsbegäran.docx", "A 234-2023")</f>
        <v/>
      </c>
      <c r="Y23">
        <f>HYPERLINK("https://klasma.github.io/Logging_2104/tillsynsmail/A 234-2023 tillsynsbegäran mail.docx", "A 234-2023")</f>
        <v/>
      </c>
    </row>
    <row r="24" ht="15" customHeight="1">
      <c r="A24" t="inlineStr">
        <is>
          <t>A 54828-2021</t>
        </is>
      </c>
      <c r="B24" s="1" t="n">
        <v>44473</v>
      </c>
      <c r="C24" s="1" t="n">
        <v>46188</v>
      </c>
      <c r="D24" t="inlineStr">
        <is>
          <t>GÄVLEBORGS LÄN</t>
        </is>
      </c>
      <c r="E24" t="inlineStr">
        <is>
          <t>HOFORS</t>
        </is>
      </c>
      <c r="F24" t="inlineStr">
        <is>
          <t>Bergvik skog väst AB</t>
        </is>
      </c>
      <c r="G24" t="n">
        <v>5.1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54828-2021 artfynd.xlsx", "A 54828-2021")</f>
        <v/>
      </c>
      <c r="T24">
        <f>HYPERLINK("https://klasma.github.io/Logging_2104/kartor/A 54828-2021 karta.png", "A 54828-2021")</f>
        <v/>
      </c>
      <c r="U24">
        <f>HYPERLINK("https://klasma.github.io/Logging_2104/knärot/A 54828-2021 karta knärot.png", "A 54828-2021")</f>
        <v/>
      </c>
      <c r="V24">
        <f>HYPERLINK("https://klasma.github.io/Logging_2104/klagomål/A 54828-2021 FSC-klagomål.docx", "A 54828-2021")</f>
        <v/>
      </c>
      <c r="W24">
        <f>HYPERLINK("https://klasma.github.io/Logging_2104/klagomålsmail/A 54828-2021 FSC-klagomål mail.docx", "A 54828-2021")</f>
        <v/>
      </c>
      <c r="X24">
        <f>HYPERLINK("https://klasma.github.io/Logging_2104/tillsyn/A 54828-2021 tillsynsbegäran.docx", "A 54828-2021")</f>
        <v/>
      </c>
      <c r="Y24">
        <f>HYPERLINK("https://klasma.github.io/Logging_2104/tillsynsmail/A 54828-2021 tillsynsbegäran mail.docx", "A 54828-2021")</f>
        <v/>
      </c>
    </row>
    <row r="25" ht="15" customHeight="1">
      <c r="A25" t="inlineStr">
        <is>
          <t>A 28397-2024</t>
        </is>
      </c>
      <c r="B25" s="1" t="n">
        <v>45477.60549768519</v>
      </c>
      <c r="C25" s="1" t="n">
        <v>46188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28397-2024 artfynd.xlsx", "A 28397-2024")</f>
        <v/>
      </c>
      <c r="T25">
        <f>HYPERLINK("https://klasma.github.io/Logging_2104/kartor/A 28397-2024 karta.png", "A 28397-2024")</f>
        <v/>
      </c>
      <c r="V25">
        <f>HYPERLINK("https://klasma.github.io/Logging_2104/klagomål/A 28397-2024 FSC-klagomål.docx", "A 28397-2024")</f>
        <v/>
      </c>
      <c r="W25">
        <f>HYPERLINK("https://klasma.github.io/Logging_2104/klagomålsmail/A 28397-2024 FSC-klagomål mail.docx", "A 28397-2024")</f>
        <v/>
      </c>
      <c r="X25">
        <f>HYPERLINK("https://klasma.github.io/Logging_2104/tillsyn/A 28397-2024 tillsynsbegäran.docx", "A 28397-2024")</f>
        <v/>
      </c>
      <c r="Y25">
        <f>HYPERLINK("https://klasma.github.io/Logging_2104/tillsynsmail/A 28397-2024 tillsynsbegäran mail.docx", "A 28397-2024")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46188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46188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46188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46188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12780-2026</t>
        </is>
      </c>
      <c r="B30" s="1" t="n">
        <v>46091</v>
      </c>
      <c r="C30" s="1" t="n">
        <v>46188</v>
      </c>
      <c r="D30" t="inlineStr">
        <is>
          <t>GÄVLEBORGS LÄN</t>
        </is>
      </c>
      <c r="E30" t="inlineStr">
        <is>
          <t>HOFORS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12780-2026 artfynd.xlsx", "A 12780-2026")</f>
        <v/>
      </c>
      <c r="T30">
        <f>HYPERLINK("https://klasma.github.io/Logging_2104/kartor/A 12780-2026 karta.png", "A 12780-2026")</f>
        <v/>
      </c>
      <c r="V30">
        <f>HYPERLINK("https://klasma.github.io/Logging_2104/klagomål/A 12780-2026 FSC-klagomål.docx", "A 12780-2026")</f>
        <v/>
      </c>
      <c r="W30">
        <f>HYPERLINK("https://klasma.github.io/Logging_2104/klagomålsmail/A 12780-2026 FSC-klagomål mail.docx", "A 12780-2026")</f>
        <v/>
      </c>
      <c r="X30">
        <f>HYPERLINK("https://klasma.github.io/Logging_2104/tillsyn/A 12780-2026 tillsynsbegäran.docx", "A 12780-2026")</f>
        <v/>
      </c>
      <c r="Y30">
        <f>HYPERLINK("https://klasma.github.io/Logging_2104/tillsynsmail/A 12780-2026 tillsynsbegäran mail.docx", "A 12780-2026")</f>
        <v/>
      </c>
      <c r="Z30">
        <f>HYPERLINK("https://klasma.github.io/Logging_2104/fåglar/A 12780-2026 prioriterade fågelarter.docx", "A 12780-2026")</f>
        <v/>
      </c>
    </row>
    <row r="31" ht="15" customHeight="1">
      <c r="A31" t="inlineStr">
        <is>
          <t>A 13579-2026</t>
        </is>
      </c>
      <c r="B31" s="1" t="n">
        <v>46095</v>
      </c>
      <c r="C31" s="1" t="n">
        <v>46188</v>
      </c>
      <c r="D31" t="inlineStr">
        <is>
          <t>GÄVLEBORGS LÄN</t>
        </is>
      </c>
      <c r="E31" t="inlineStr">
        <is>
          <t>HOFORS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HYPERLINK("https://klasma.github.io/Logging_2104/artfynd/A 13579-2026 artfynd.xlsx", "A 13579-2026")</f>
        <v/>
      </c>
      <c r="T31">
        <f>HYPERLINK("https://klasma.github.io/Logging_2104/kartor/A 13579-2026 karta.png", "A 13579-2026")</f>
        <v/>
      </c>
      <c r="V31">
        <f>HYPERLINK("https://klasma.github.io/Logging_2104/klagomål/A 13579-2026 FSC-klagomål.docx", "A 13579-2026")</f>
        <v/>
      </c>
      <c r="W31">
        <f>HYPERLINK("https://klasma.github.io/Logging_2104/klagomålsmail/A 13579-2026 FSC-klagomål mail.docx", "A 13579-2026")</f>
        <v/>
      </c>
      <c r="X31">
        <f>HYPERLINK("https://klasma.github.io/Logging_2104/tillsyn/A 13579-2026 tillsynsbegäran.docx", "A 13579-2026")</f>
        <v/>
      </c>
      <c r="Y31">
        <f>HYPERLINK("https://klasma.github.io/Logging_2104/tillsynsmail/A 13579-2026 tillsynsbegäran mail.docx", "A 13579-2026")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46188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46188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46188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46188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46188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25511-2026</t>
        </is>
      </c>
      <c r="B37" s="1" t="n">
        <v>46177.47506944444</v>
      </c>
      <c r="C37" s="1" t="n">
        <v>46188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HYPERLINK("https://klasma.github.io/Logging_2104/artfynd/A 25511-2026 artfynd.xlsx", "A 25511-2026")</f>
        <v/>
      </c>
      <c r="T37">
        <f>HYPERLINK("https://klasma.github.io/Logging_2104/kartor/A 25511-2026 karta.png", "A 25511-2026")</f>
        <v/>
      </c>
      <c r="V37">
        <f>HYPERLINK("https://klasma.github.io/Logging_2104/klagomål/A 25511-2026 FSC-klagomål.docx", "A 25511-2026")</f>
        <v/>
      </c>
      <c r="W37">
        <f>HYPERLINK("https://klasma.github.io/Logging_2104/klagomålsmail/A 25511-2026 FSC-klagomål mail.docx", "A 25511-2026")</f>
        <v/>
      </c>
      <c r="X37">
        <f>HYPERLINK("https://klasma.github.io/Logging_2104/tillsyn/A 25511-2026 tillsynsbegäran.docx", "A 25511-2026")</f>
        <v/>
      </c>
      <c r="Y37">
        <f>HYPERLINK("https://klasma.github.io/Logging_2104/tillsynsmail/A 25511-2026 tillsynsbegäran mail.docx", "A 25511-2026")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46188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33298-2023</t>
        </is>
      </c>
      <c r="B39" s="1" t="n">
        <v>45127</v>
      </c>
      <c r="C39" s="1" t="n">
        <v>46188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5.6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HYPERLINK("https://klasma.github.io/Logging_2104/artfynd/A 33298-2023 artfynd.xlsx", "A 33298-2023")</f>
        <v/>
      </c>
      <c r="T39">
        <f>HYPERLINK("https://klasma.github.io/Logging_2104/kartor/A 33298-2023 karta.png", "A 33298-2023")</f>
        <v/>
      </c>
      <c r="V39">
        <f>HYPERLINK("https://klasma.github.io/Logging_2104/klagomål/A 33298-2023 FSC-klagomål.docx", "A 33298-2023")</f>
        <v/>
      </c>
      <c r="W39">
        <f>HYPERLINK("https://klasma.github.io/Logging_2104/klagomålsmail/A 33298-2023 FSC-klagomål mail.docx", "A 33298-2023")</f>
        <v/>
      </c>
      <c r="X39">
        <f>HYPERLINK("https://klasma.github.io/Logging_2104/tillsyn/A 33298-2023 tillsynsbegäran.docx", "A 33298-2023")</f>
        <v/>
      </c>
      <c r="Y39">
        <f>HYPERLINK("https://klasma.github.io/Logging_2104/tillsynsmail/A 33298-2023 tillsynsbegäran mail.docx", "A 33298-2023")</f>
        <v/>
      </c>
    </row>
    <row r="40" ht="15" customHeight="1">
      <c r="A40" t="inlineStr">
        <is>
          <t>A 35521-2024</t>
        </is>
      </c>
      <c r="B40" s="1" t="n">
        <v>45531.57493055556</v>
      </c>
      <c r="C40" s="1" t="n">
        <v>46188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HYPERLINK("https://klasma.github.io/Logging_2104/artfynd/A 35521-2024 artfynd.xlsx", "A 35521-2024")</f>
        <v/>
      </c>
      <c r="T40">
        <f>HYPERLINK("https://klasma.github.io/Logging_2104/kartor/A 35521-2024 karta.png", "A 35521-2024")</f>
        <v/>
      </c>
      <c r="V40">
        <f>HYPERLINK("https://klasma.github.io/Logging_2104/klagomål/A 35521-2024 FSC-klagomål.docx", "A 35521-2024")</f>
        <v/>
      </c>
      <c r="W40">
        <f>HYPERLINK("https://klasma.github.io/Logging_2104/klagomålsmail/A 35521-2024 FSC-klagomål mail.docx", "A 35521-2024")</f>
        <v/>
      </c>
      <c r="X40">
        <f>HYPERLINK("https://klasma.github.io/Logging_2104/tillsyn/A 35521-2024 tillsynsbegäran.docx", "A 35521-2024")</f>
        <v/>
      </c>
      <c r="Y40">
        <f>HYPERLINK("https://klasma.github.io/Logging_2104/tillsynsmail/A 35521-2024 tillsynsbegäran mail.docx", "A 35521-2024")</f>
        <v/>
      </c>
    </row>
    <row r="41" ht="15" customHeight="1">
      <c r="A41" t="inlineStr">
        <is>
          <t>A 51205-2022</t>
        </is>
      </c>
      <c r="B41" s="1" t="n">
        <v>44868.61302083333</v>
      </c>
      <c r="C41" s="1" t="n">
        <v>46188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46188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46188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46188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46188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46188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46188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52320-2022</t>
        </is>
      </c>
      <c r="B48" s="1" t="n">
        <v>44873</v>
      </c>
      <c r="C48" s="1" t="n">
        <v>46188</v>
      </c>
      <c r="D48" t="inlineStr">
        <is>
          <t>GÄVLEBORGS LÄN</t>
        </is>
      </c>
      <c r="E48" t="inlineStr">
        <is>
          <t>HOFORS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19292-2022</t>
        </is>
      </c>
      <c r="B49" s="1" t="n">
        <v>44692</v>
      </c>
      <c r="C49" s="1" t="n">
        <v>46188</v>
      </c>
      <c r="D49" t="inlineStr">
        <is>
          <t>GÄVLEBORGS LÄN</t>
        </is>
      </c>
      <c r="E49" t="inlineStr">
        <is>
          <t>HOFORS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46188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17179-2025</t>
        </is>
      </c>
      <c r="B51" s="1" t="n">
        <v>45755</v>
      </c>
      <c r="C51" s="1" t="n">
        <v>46188</v>
      </c>
      <c r="D51" t="inlineStr">
        <is>
          <t>GÄVLEBORGS LÄN</t>
        </is>
      </c>
      <c r="E51" t="inlineStr">
        <is>
          <t>HOFORS</t>
        </is>
      </c>
      <c r="F51" t="inlineStr">
        <is>
          <t>Bergvik skog väst AB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35498-2024</t>
        </is>
      </c>
      <c r="B52" s="1" t="n">
        <v>45531.51796296296</v>
      </c>
      <c r="C52" s="1" t="n">
        <v>46188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6929-2023</t>
        </is>
      </c>
      <c r="B53" s="1" t="n">
        <v>44967</v>
      </c>
      <c r="C53" s="1" t="n">
        <v>46188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33979-2024</t>
        </is>
      </c>
      <c r="B54" s="1" t="n">
        <v>45523.51896990741</v>
      </c>
      <c r="C54" s="1" t="n">
        <v>46188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36283-2024</t>
        </is>
      </c>
      <c r="B55" s="1" t="n">
        <v>45534.58899305556</v>
      </c>
      <c r="C55" s="1" t="n">
        <v>46188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48232-2025</t>
        </is>
      </c>
      <c r="B56" s="1" t="n">
        <v>45933.53054398148</v>
      </c>
      <c r="C56" s="1" t="n">
        <v>46188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27959-2025</t>
        </is>
      </c>
      <c r="B57" s="1" t="n">
        <v>45816</v>
      </c>
      <c r="C57" s="1" t="n">
        <v>46188</v>
      </c>
      <c r="D57" t="inlineStr">
        <is>
          <t>GÄVLEBORGS LÄN</t>
        </is>
      </c>
      <c r="E57" t="inlineStr">
        <is>
          <t>HOFORS</t>
        </is>
      </c>
      <c r="F57" t="inlineStr">
        <is>
          <t>Bergvik skog väst AB</t>
        </is>
      </c>
      <c r="G57" t="n">
        <v>45.6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48240-2025</t>
        </is>
      </c>
      <c r="B58" s="1" t="n">
        <v>45933.53292824074</v>
      </c>
      <c r="C58" s="1" t="n">
        <v>46188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48241-2025</t>
        </is>
      </c>
      <c r="B59" s="1" t="n">
        <v>45933.53391203703</v>
      </c>
      <c r="C59" s="1" t="n">
        <v>46188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48231-2025</t>
        </is>
      </c>
      <c r="B60" s="1" t="n">
        <v>45933.52594907407</v>
      </c>
      <c r="C60" s="1" t="n">
        <v>46188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48612-2025</t>
        </is>
      </c>
      <c r="B61" s="1" t="n">
        <v>45935</v>
      </c>
      <c r="C61" s="1" t="n">
        <v>46188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48609-2025</t>
        </is>
      </c>
      <c r="B62" s="1" t="n">
        <v>45935</v>
      </c>
      <c r="C62" s="1" t="n">
        <v>46188</v>
      </c>
      <c r="D62" t="inlineStr">
        <is>
          <t>GÄVLEBORGS LÄN</t>
        </is>
      </c>
      <c r="E62" t="inlineStr">
        <is>
          <t>HOFORS</t>
        </is>
      </c>
      <c r="F62" t="inlineStr">
        <is>
          <t>Bergvik skog väst AB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33978-2024</t>
        </is>
      </c>
      <c r="B63" s="1" t="n">
        <v>45523.51716435186</v>
      </c>
      <c r="C63" s="1" t="n">
        <v>46188</v>
      </c>
      <c r="D63" t="inlineStr">
        <is>
          <t>GÄVLEBORGS LÄN</t>
        </is>
      </c>
      <c r="E63" t="inlineStr">
        <is>
          <t>HOFORS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33984-2024</t>
        </is>
      </c>
      <c r="B64" s="1" t="n">
        <v>45523.52378472222</v>
      </c>
      <c r="C64" s="1" t="n">
        <v>46188</v>
      </c>
      <c r="D64" t="inlineStr">
        <is>
          <t>GÄVLEBORGS LÄN</t>
        </is>
      </c>
      <c r="E64" t="inlineStr">
        <is>
          <t>HOFORS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11813-2024</t>
        </is>
      </c>
      <c r="B65" s="1" t="n">
        <v>45376.30138888889</v>
      </c>
      <c r="C65" s="1" t="n">
        <v>46188</v>
      </c>
      <c r="D65" t="inlineStr">
        <is>
          <t>GÄVLEBORGS LÄN</t>
        </is>
      </c>
      <c r="E65" t="inlineStr">
        <is>
          <t>HOFORS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46188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38486-2025</t>
        </is>
      </c>
      <c r="B67" s="1" t="n">
        <v>45884.34282407408</v>
      </c>
      <c r="C67" s="1" t="n">
        <v>46188</v>
      </c>
      <c r="D67" t="inlineStr">
        <is>
          <t>GÄVLEBORGS LÄN</t>
        </is>
      </c>
      <c r="E67" t="inlineStr">
        <is>
          <t>HOFORS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51225-2025</t>
        </is>
      </c>
      <c r="B68" s="1" t="n">
        <v>45947.65599537037</v>
      </c>
      <c r="C68" s="1" t="n">
        <v>46188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52693-2025</t>
        </is>
      </c>
      <c r="B69" s="1" t="n">
        <v>45956.58960648148</v>
      </c>
      <c r="C69" s="1" t="n">
        <v>46188</v>
      </c>
      <c r="D69" t="inlineStr">
        <is>
          <t>GÄVLEBORGS LÄN</t>
        </is>
      </c>
      <c r="E69" t="inlineStr">
        <is>
          <t>HOFORS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1144-2024</t>
        </is>
      </c>
      <c r="B70" s="1" t="n">
        <v>45302.49138888889</v>
      </c>
      <c r="C70" s="1" t="n">
        <v>46188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40407-2025</t>
        </is>
      </c>
      <c r="B71" s="1" t="n">
        <v>45895.57083333333</v>
      </c>
      <c r="C71" s="1" t="n">
        <v>46188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21340-2025</t>
        </is>
      </c>
      <c r="B72" s="1" t="n">
        <v>45782.38909722222</v>
      </c>
      <c r="C72" s="1" t="n">
        <v>46188</v>
      </c>
      <c r="D72" t="inlineStr">
        <is>
          <t>GÄVLEBORGS LÄN</t>
        </is>
      </c>
      <c r="E72" t="inlineStr">
        <is>
          <t>HOFORS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41569-2025</t>
        </is>
      </c>
      <c r="B73" s="1" t="n">
        <v>45901.60810185185</v>
      </c>
      <c r="C73" s="1" t="n">
        <v>46188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41620-2025</t>
        </is>
      </c>
      <c r="B74" s="1" t="n">
        <v>45901.70319444445</v>
      </c>
      <c r="C74" s="1" t="n">
        <v>46188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46188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5554-2024</t>
        </is>
      </c>
      <c r="B76" s="1" t="n">
        <v>45334</v>
      </c>
      <c r="C76" s="1" t="n">
        <v>46188</v>
      </c>
      <c r="D76" t="inlineStr">
        <is>
          <t>GÄVLEBORGS LÄN</t>
        </is>
      </c>
      <c r="E76" t="inlineStr">
        <is>
          <t>HOFORS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54876-2025</t>
        </is>
      </c>
      <c r="B77" s="1" t="n">
        <v>45967.31611111111</v>
      </c>
      <c r="C77" s="1" t="n">
        <v>46188</v>
      </c>
      <c r="D77" t="inlineStr">
        <is>
          <t>GÄVLEBORGS LÄN</t>
        </is>
      </c>
      <c r="E77" t="inlineStr">
        <is>
          <t>HOFORS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54877-2025</t>
        </is>
      </c>
      <c r="B78" s="1" t="n">
        <v>45967.31960648148</v>
      </c>
      <c r="C78" s="1" t="n">
        <v>46188</v>
      </c>
      <c r="D78" t="inlineStr">
        <is>
          <t>GÄVLEBORGS LÄN</t>
        </is>
      </c>
      <c r="E78" t="inlineStr">
        <is>
          <t>HOFORS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54874-2025</t>
        </is>
      </c>
      <c r="B79" s="1" t="n">
        <v>45967.30939814815</v>
      </c>
      <c r="C79" s="1" t="n">
        <v>46188</v>
      </c>
      <c r="D79" t="inlineStr">
        <is>
          <t>GÄVLEBORGS LÄN</t>
        </is>
      </c>
      <c r="E79" t="inlineStr">
        <is>
          <t>HOFORS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54827-2025</t>
        </is>
      </c>
      <c r="B80" s="1" t="n">
        <v>45966.66925925926</v>
      </c>
      <c r="C80" s="1" t="n">
        <v>46188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58369-2023</t>
        </is>
      </c>
      <c r="B81" s="1" t="n">
        <v>45250</v>
      </c>
      <c r="C81" s="1" t="n">
        <v>46188</v>
      </c>
      <c r="D81" t="inlineStr">
        <is>
          <t>GÄVLEBORGS LÄN</t>
        </is>
      </c>
      <c r="E81" t="inlineStr">
        <is>
          <t>HOFORS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55288-2025</t>
        </is>
      </c>
      <c r="B82" s="1" t="n">
        <v>45969.33444444444</v>
      </c>
      <c r="C82" s="1" t="n">
        <v>46188</v>
      </c>
      <c r="D82" t="inlineStr">
        <is>
          <t>GÄVLEBORGS LÄN</t>
        </is>
      </c>
      <c r="E82" t="inlineStr">
        <is>
          <t>HOFORS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4032-2025</t>
        </is>
      </c>
      <c r="B83" s="1" t="n">
        <v>45684</v>
      </c>
      <c r="C83" s="1" t="n">
        <v>46188</v>
      </c>
      <c r="D83" t="inlineStr">
        <is>
          <t>GÄVLEBORGS LÄN</t>
        </is>
      </c>
      <c r="E83" t="inlineStr">
        <is>
          <t>HOFORS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33296-2023</t>
        </is>
      </c>
      <c r="B84" s="1" t="n">
        <v>45127.69603009259</v>
      </c>
      <c r="C84" s="1" t="n">
        <v>46188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55287-2025</t>
        </is>
      </c>
      <c r="B85" s="1" t="n">
        <v>45969.30730324074</v>
      </c>
      <c r="C85" s="1" t="n">
        <v>46188</v>
      </c>
      <c r="D85" t="inlineStr">
        <is>
          <t>GÄVLEBORGS LÄN</t>
        </is>
      </c>
      <c r="E85" t="inlineStr">
        <is>
          <t>HOFORS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51337-2023</t>
        </is>
      </c>
      <c r="B86" s="1" t="n">
        <v>45219.59144675926</v>
      </c>
      <c r="C86" s="1" t="n">
        <v>46188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46188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37743-2022</t>
        </is>
      </c>
      <c r="B88" s="1" t="n">
        <v>44810.58275462963</v>
      </c>
      <c r="C88" s="1" t="n">
        <v>46188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57596-2025</t>
        </is>
      </c>
      <c r="B89" s="1" t="n">
        <v>45980.9716087963</v>
      </c>
      <c r="C89" s="1" t="n">
        <v>46188</v>
      </c>
      <c r="D89" t="inlineStr">
        <is>
          <t>GÄVLEBORGS LÄN</t>
        </is>
      </c>
      <c r="E89" t="inlineStr">
        <is>
          <t>HOFORS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57593-2025</t>
        </is>
      </c>
      <c r="B90" s="1" t="n">
        <v>45980.96055555555</v>
      </c>
      <c r="C90" s="1" t="n">
        <v>46188</v>
      </c>
      <c r="D90" t="inlineStr">
        <is>
          <t>GÄVLEBORGS LÄN</t>
        </is>
      </c>
      <c r="E90" t="inlineStr">
        <is>
          <t>HOFORS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57595-2025</t>
        </is>
      </c>
      <c r="B91" s="1" t="n">
        <v>45980.97019675926</v>
      </c>
      <c r="C91" s="1" t="n">
        <v>46188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57594-2025</t>
        </is>
      </c>
      <c r="B92" s="1" t="n">
        <v>45980.96221064815</v>
      </c>
      <c r="C92" s="1" t="n">
        <v>46188</v>
      </c>
      <c r="D92" t="inlineStr">
        <is>
          <t>GÄVLEBORGS LÄN</t>
        </is>
      </c>
      <c r="E92" t="inlineStr">
        <is>
          <t>HOFORS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44694-2025</t>
        </is>
      </c>
      <c r="B93" s="1" t="n">
        <v>45917.59674768519</v>
      </c>
      <c r="C93" s="1" t="n">
        <v>46188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44692-2025</t>
        </is>
      </c>
      <c r="B94" s="1" t="n">
        <v>45917.59540509259</v>
      </c>
      <c r="C94" s="1" t="n">
        <v>46188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58008-2025</t>
        </is>
      </c>
      <c r="B95" s="1" t="n">
        <v>45982.45744212963</v>
      </c>
      <c r="C95" s="1" t="n">
        <v>46188</v>
      </c>
      <c r="D95" t="inlineStr">
        <is>
          <t>GÄVLEBORGS LÄN</t>
        </is>
      </c>
      <c r="E95" t="inlineStr">
        <is>
          <t>HOFORS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58633-2025</t>
        </is>
      </c>
      <c r="B96" s="1" t="n">
        <v>45986.48885416667</v>
      </c>
      <c r="C96" s="1" t="n">
        <v>46188</v>
      </c>
      <c r="D96" t="inlineStr">
        <is>
          <t>GÄVLEBORGS LÄN</t>
        </is>
      </c>
      <c r="E96" t="inlineStr">
        <is>
          <t>HOFORS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58805-2025</t>
        </is>
      </c>
      <c r="B97" s="1" t="n">
        <v>45986.9652662037</v>
      </c>
      <c r="C97" s="1" t="n">
        <v>46188</v>
      </c>
      <c r="D97" t="inlineStr">
        <is>
          <t>GÄVLEBORGS LÄN</t>
        </is>
      </c>
      <c r="E97" t="inlineStr">
        <is>
          <t>HOFORS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47091-2025</t>
        </is>
      </c>
      <c r="B98" s="1" t="n">
        <v>45929.65052083333</v>
      </c>
      <c r="C98" s="1" t="n">
        <v>46188</v>
      </c>
      <c r="D98" t="inlineStr">
        <is>
          <t>GÄVLEBORGS LÄN</t>
        </is>
      </c>
      <c r="E98" t="inlineStr">
        <is>
          <t>HOFORS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58240-2021</t>
        </is>
      </c>
      <c r="B99" s="1" t="n">
        <v>44487.88978009259</v>
      </c>
      <c r="C99" s="1" t="n">
        <v>46188</v>
      </c>
      <c r="D99" t="inlineStr">
        <is>
          <t>GÄVLEBORGS LÄN</t>
        </is>
      </c>
      <c r="E99" t="inlineStr">
        <is>
          <t>HOFORS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47249-2025</t>
        </is>
      </c>
      <c r="B100" s="1" t="n">
        <v>45930.43439814815</v>
      </c>
      <c r="C100" s="1" t="n">
        <v>46188</v>
      </c>
      <c r="D100" t="inlineStr">
        <is>
          <t>GÄVLEBORGS LÄN</t>
        </is>
      </c>
      <c r="E100" t="inlineStr">
        <is>
          <t>HOFORS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61186-2025</t>
        </is>
      </c>
      <c r="B101" s="1" t="n">
        <v>46000.58625</v>
      </c>
      <c r="C101" s="1" t="n">
        <v>46188</v>
      </c>
      <c r="D101" t="inlineStr">
        <is>
          <t>GÄVLEBORGS LÄN</t>
        </is>
      </c>
      <c r="E101" t="inlineStr">
        <is>
          <t>HOFORS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47524-2024</t>
        </is>
      </c>
      <c r="B102" s="1" t="n">
        <v>45587.63166666667</v>
      </c>
      <c r="C102" s="1" t="n">
        <v>46188</v>
      </c>
      <c r="D102" t="inlineStr">
        <is>
          <t>GÄVLEBORGS LÄN</t>
        </is>
      </c>
      <c r="E102" t="inlineStr">
        <is>
          <t>HOFORS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13471-2024</t>
        </is>
      </c>
      <c r="B103" s="1" t="n">
        <v>45387.57859953704</v>
      </c>
      <c r="C103" s="1" t="n">
        <v>46188</v>
      </c>
      <c r="D103" t="inlineStr">
        <is>
          <t>GÄVLEBORGS LÄN</t>
        </is>
      </c>
      <c r="E103" t="inlineStr">
        <is>
          <t>HOFORS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61642-2025</t>
        </is>
      </c>
      <c r="B104" s="1" t="n">
        <v>46002.43494212963</v>
      </c>
      <c r="C104" s="1" t="n">
        <v>46188</v>
      </c>
      <c r="D104" t="inlineStr">
        <is>
          <t>GÄVLEBORGS LÄN</t>
        </is>
      </c>
      <c r="E104" t="inlineStr">
        <is>
          <t>HOFORS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23666-2025</t>
        </is>
      </c>
      <c r="B105" s="1" t="n">
        <v>45792.84364583333</v>
      </c>
      <c r="C105" s="1" t="n">
        <v>46188</v>
      </c>
      <c r="D105" t="inlineStr">
        <is>
          <t>GÄVLEBORGS LÄN</t>
        </is>
      </c>
      <c r="E105" t="inlineStr">
        <is>
          <t>HOFORS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46188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27738-2024</t>
        </is>
      </c>
      <c r="B107" s="1" t="n">
        <v>45475.45108796296</v>
      </c>
      <c r="C107" s="1" t="n">
        <v>46188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öst AB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37680-2022</t>
        </is>
      </c>
      <c r="B108" s="1" t="n">
        <v>44810</v>
      </c>
      <c r="C108" s="1" t="n">
        <v>46188</v>
      </c>
      <c r="D108" t="inlineStr">
        <is>
          <t>GÄVLEBORGS LÄN</t>
        </is>
      </c>
      <c r="E108" t="inlineStr">
        <is>
          <t>HOFORS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659-2026</t>
        </is>
      </c>
      <c r="B109" s="1" t="n">
        <v>46029.58206018519</v>
      </c>
      <c r="C109" s="1" t="n">
        <v>46188</v>
      </c>
      <c r="D109" t="inlineStr">
        <is>
          <t>GÄVLEBORGS LÄN</t>
        </is>
      </c>
      <c r="E109" t="inlineStr">
        <is>
          <t>HOFORS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692-2026</t>
        </is>
      </c>
      <c r="B110" s="1" t="n">
        <v>46029</v>
      </c>
      <c r="C110" s="1" t="n">
        <v>46188</v>
      </c>
      <c r="D110" t="inlineStr">
        <is>
          <t>GÄVLEBORGS LÄN</t>
        </is>
      </c>
      <c r="E110" t="inlineStr">
        <is>
          <t>HOFORS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837-2026</t>
        </is>
      </c>
      <c r="B111" s="1" t="n">
        <v>46030.3752662037</v>
      </c>
      <c r="C111" s="1" t="n">
        <v>46188</v>
      </c>
      <c r="D111" t="inlineStr">
        <is>
          <t>GÄVLEBORGS LÄN</t>
        </is>
      </c>
      <c r="E111" t="inlineStr">
        <is>
          <t>HOFORS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892-2026</t>
        </is>
      </c>
      <c r="B112" s="1" t="n">
        <v>46030.45260416667</v>
      </c>
      <c r="C112" s="1" t="n">
        <v>46188</v>
      </c>
      <c r="D112" t="inlineStr">
        <is>
          <t>GÄVLEBORGS LÄN</t>
        </is>
      </c>
      <c r="E112" t="inlineStr">
        <is>
          <t>HOFORS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57632-2021</t>
        </is>
      </c>
      <c r="B113" s="1" t="n">
        <v>44484.39166666667</v>
      </c>
      <c r="C113" s="1" t="n">
        <v>46188</v>
      </c>
      <c r="D113" t="inlineStr">
        <is>
          <t>GÄVLEBORGS LÄN</t>
        </is>
      </c>
      <c r="E113" t="inlineStr">
        <is>
          <t>HOFORS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58373-2023</t>
        </is>
      </c>
      <c r="B114" s="1" t="n">
        <v>45250.65805555556</v>
      </c>
      <c r="C114" s="1" t="n">
        <v>46188</v>
      </c>
      <c r="D114" t="inlineStr">
        <is>
          <t>GÄVLEBORGS LÄN</t>
        </is>
      </c>
      <c r="E114" t="inlineStr">
        <is>
          <t>HOFORS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41020-2023</t>
        </is>
      </c>
      <c r="B115" s="1" t="n">
        <v>45173.59236111111</v>
      </c>
      <c r="C115" s="1" t="n">
        <v>46188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33981-2024</t>
        </is>
      </c>
      <c r="B116" s="1" t="n">
        <v>45523.52111111111</v>
      </c>
      <c r="C116" s="1" t="n">
        <v>46188</v>
      </c>
      <c r="D116" t="inlineStr">
        <is>
          <t>GÄVLEBORGS LÄN</t>
        </is>
      </c>
      <c r="E116" t="inlineStr">
        <is>
          <t>HOFORS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53517-2024</t>
        </is>
      </c>
      <c r="B117" s="1" t="n">
        <v>45614.60436342593</v>
      </c>
      <c r="C117" s="1" t="n">
        <v>46188</v>
      </c>
      <c r="D117" t="inlineStr">
        <is>
          <t>GÄVLEBORGS LÄN</t>
        </is>
      </c>
      <c r="E117" t="inlineStr">
        <is>
          <t>HOFORS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44356-2023</t>
        </is>
      </c>
      <c r="B118" s="1" t="n">
        <v>45188.81979166667</v>
      </c>
      <c r="C118" s="1" t="n">
        <v>46188</v>
      </c>
      <c r="D118" t="inlineStr">
        <is>
          <t>GÄVLEBORGS LÄN</t>
        </is>
      </c>
      <c r="E118" t="inlineStr">
        <is>
          <t>HOFORS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23355-2024</t>
        </is>
      </c>
      <c r="B119" s="1" t="n">
        <v>45453</v>
      </c>
      <c r="C119" s="1" t="n">
        <v>46188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2546-2026</t>
        </is>
      </c>
      <c r="B120" s="1" t="n">
        <v>46037.46833333333</v>
      </c>
      <c r="C120" s="1" t="n">
        <v>46188</v>
      </c>
      <c r="D120" t="inlineStr">
        <is>
          <t>GÄVLEBORGS LÄN</t>
        </is>
      </c>
      <c r="E120" t="inlineStr">
        <is>
          <t>HOFORS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2220-2026</t>
        </is>
      </c>
      <c r="B121" s="1" t="n">
        <v>46036.50115740741</v>
      </c>
      <c r="C121" s="1" t="n">
        <v>46188</v>
      </c>
      <c r="D121" t="inlineStr">
        <is>
          <t>GÄVLEBORGS LÄN</t>
        </is>
      </c>
      <c r="E121" t="inlineStr">
        <is>
          <t>HOFORS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13744-2023</t>
        </is>
      </c>
      <c r="B122" s="1" t="n">
        <v>45007</v>
      </c>
      <c r="C122" s="1" t="n">
        <v>46188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3615-2026</t>
        </is>
      </c>
      <c r="B123" s="1" t="n">
        <v>46042.94633101852</v>
      </c>
      <c r="C123" s="1" t="n">
        <v>46188</v>
      </c>
      <c r="D123" t="inlineStr">
        <is>
          <t>GÄVLEBORGS LÄN</t>
        </is>
      </c>
      <c r="E123" t="inlineStr">
        <is>
          <t>HOFORS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3614-2026</t>
        </is>
      </c>
      <c r="B124" s="1" t="n">
        <v>46042.94263888889</v>
      </c>
      <c r="C124" s="1" t="n">
        <v>46188</v>
      </c>
      <c r="D124" t="inlineStr">
        <is>
          <t>GÄVLEBORGS LÄN</t>
        </is>
      </c>
      <c r="E124" t="inlineStr">
        <is>
          <t>HOFORS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3870-2026</t>
        </is>
      </c>
      <c r="B125" s="1" t="n">
        <v>46043.64090277778</v>
      </c>
      <c r="C125" s="1" t="n">
        <v>46188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3391-2026</t>
        </is>
      </c>
      <c r="B126" s="1" t="n">
        <v>46042</v>
      </c>
      <c r="C126" s="1" t="n">
        <v>46188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8510-2023</t>
        </is>
      </c>
      <c r="B127" s="1" t="n">
        <v>44977.56144675926</v>
      </c>
      <c r="C127" s="1" t="n">
        <v>46188</v>
      </c>
      <c r="D127" t="inlineStr">
        <is>
          <t>GÄVLEBORGS LÄN</t>
        </is>
      </c>
      <c r="E127" t="inlineStr">
        <is>
          <t>HOFORS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5549-2026</t>
        </is>
      </c>
      <c r="B128" s="1" t="n">
        <v>46050.71560185185</v>
      </c>
      <c r="C128" s="1" t="n">
        <v>46188</v>
      </c>
      <c r="D128" t="inlineStr">
        <is>
          <t>GÄVLEBORGS LÄN</t>
        </is>
      </c>
      <c r="E128" t="inlineStr">
        <is>
          <t>HOFORS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43282-2021</t>
        </is>
      </c>
      <c r="B129" s="1" t="n">
        <v>44432.39119212963</v>
      </c>
      <c r="C129" s="1" t="n">
        <v>46188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27431-2025</t>
        </is>
      </c>
      <c r="B130" s="1" t="n">
        <v>45813</v>
      </c>
      <c r="C130" s="1" t="n">
        <v>46188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27436-2025</t>
        </is>
      </c>
      <c r="B131" s="1" t="n">
        <v>45813</v>
      </c>
      <c r="C131" s="1" t="n">
        <v>46188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27438-2025</t>
        </is>
      </c>
      <c r="B132" s="1" t="n">
        <v>45813.3143287037</v>
      </c>
      <c r="C132" s="1" t="n">
        <v>46188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27432-2025</t>
        </is>
      </c>
      <c r="B133" s="1" t="n">
        <v>45813</v>
      </c>
      <c r="C133" s="1" t="n">
        <v>46188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27441-2025</t>
        </is>
      </c>
      <c r="B134" s="1" t="n">
        <v>45813.31630787037</v>
      </c>
      <c r="C134" s="1" t="n">
        <v>46188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47495-2024</t>
        </is>
      </c>
      <c r="B135" s="1" t="n">
        <v>45587.59559027778</v>
      </c>
      <c r="C135" s="1" t="n">
        <v>46188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30007-2024</t>
        </is>
      </c>
      <c r="B136" s="1" t="n">
        <v>45488.60150462963</v>
      </c>
      <c r="C136" s="1" t="n">
        <v>46188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30009-2024</t>
        </is>
      </c>
      <c r="B137" s="1" t="n">
        <v>45488.60546296297</v>
      </c>
      <c r="C137" s="1" t="n">
        <v>46188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23545-2025</t>
        </is>
      </c>
      <c r="B138" s="1" t="n">
        <v>45792</v>
      </c>
      <c r="C138" s="1" t="n">
        <v>46188</v>
      </c>
      <c r="D138" t="inlineStr">
        <is>
          <t>GÄVLEBORGS LÄN</t>
        </is>
      </c>
      <c r="E138" t="inlineStr">
        <is>
          <t>HOFORS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7581-2026</t>
        </is>
      </c>
      <c r="B139" s="1" t="n">
        <v>46061.63856481481</v>
      </c>
      <c r="C139" s="1" t="n">
        <v>46188</v>
      </c>
      <c r="D139" t="inlineStr">
        <is>
          <t>GÄVLEBORGS LÄN</t>
        </is>
      </c>
      <c r="E139" t="inlineStr">
        <is>
          <t>HOFORS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7580-2026</t>
        </is>
      </c>
      <c r="B140" s="1" t="n">
        <v>46061.63731481481</v>
      </c>
      <c r="C140" s="1" t="n">
        <v>46188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49815-2024</t>
        </is>
      </c>
      <c r="B141" s="1" t="n">
        <v>45597.39709490741</v>
      </c>
      <c r="C141" s="1" t="n">
        <v>46188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26302-2025</t>
        </is>
      </c>
      <c r="B142" s="1" t="n">
        <v>45805</v>
      </c>
      <c r="C142" s="1" t="n">
        <v>46188</v>
      </c>
      <c r="D142" t="inlineStr">
        <is>
          <t>GÄVLEBORGS LÄN</t>
        </is>
      </c>
      <c r="E142" t="inlineStr">
        <is>
          <t>HOFORS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37763-2023</t>
        </is>
      </c>
      <c r="B143" s="1" t="n">
        <v>45156</v>
      </c>
      <c r="C143" s="1" t="n">
        <v>46188</v>
      </c>
      <c r="D143" t="inlineStr">
        <is>
          <t>GÄVLEBORGS LÄN</t>
        </is>
      </c>
      <c r="E143" t="inlineStr">
        <is>
          <t>HOFORS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35505-2024</t>
        </is>
      </c>
      <c r="B144" s="1" t="n">
        <v>45531.53869212963</v>
      </c>
      <c r="C144" s="1" t="n">
        <v>46188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35514-2024</t>
        </is>
      </c>
      <c r="B145" s="1" t="n">
        <v>45531.56472222223</v>
      </c>
      <c r="C145" s="1" t="n">
        <v>46188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4566-2026</t>
        </is>
      </c>
      <c r="B146" s="1" t="n">
        <v>46047.87172453704</v>
      </c>
      <c r="C146" s="1" t="n">
        <v>46188</v>
      </c>
      <c r="D146" t="inlineStr">
        <is>
          <t>GÄVLEBORGS LÄN</t>
        </is>
      </c>
      <c r="E146" t="inlineStr">
        <is>
          <t>HOFORS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30229-2024</t>
        </is>
      </c>
      <c r="B147" s="1" t="n">
        <v>45490.46946759259</v>
      </c>
      <c r="C147" s="1" t="n">
        <v>46188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31471-2025</t>
        </is>
      </c>
      <c r="B148" s="1" t="n">
        <v>45833.56436342592</v>
      </c>
      <c r="C148" s="1" t="n">
        <v>46188</v>
      </c>
      <c r="D148" t="inlineStr">
        <is>
          <t>GÄVLEBORGS LÄN</t>
        </is>
      </c>
      <c r="E148" t="inlineStr">
        <is>
          <t>HOFORS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2612-2025</t>
        </is>
      </c>
      <c r="B149" s="1" t="n">
        <v>45674</v>
      </c>
      <c r="C149" s="1" t="n">
        <v>46188</v>
      </c>
      <c r="D149" t="inlineStr">
        <is>
          <t>GÄVLEBORGS LÄN</t>
        </is>
      </c>
      <c r="E149" t="inlineStr">
        <is>
          <t>HOFORS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23376-2024</t>
        </is>
      </c>
      <c r="B150" s="1" t="n">
        <v>45453</v>
      </c>
      <c r="C150" s="1" t="n">
        <v>46188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58955-2023</t>
        </is>
      </c>
      <c r="B151" s="1" t="n">
        <v>45252</v>
      </c>
      <c r="C151" s="1" t="n">
        <v>46188</v>
      </c>
      <c r="D151" t="inlineStr">
        <is>
          <t>GÄVLEBORGS LÄN</t>
        </is>
      </c>
      <c r="E151" t="inlineStr">
        <is>
          <t>HOFORS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6963-2024</t>
        </is>
      </c>
      <c r="B152" s="1" t="n">
        <v>45343.4562037037</v>
      </c>
      <c r="C152" s="1" t="n">
        <v>46188</v>
      </c>
      <c r="D152" t="inlineStr">
        <is>
          <t>GÄVLEBORGS LÄN</t>
        </is>
      </c>
      <c r="E152" t="inlineStr">
        <is>
          <t>HOFORS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11462-2026</t>
        </is>
      </c>
      <c r="B153" s="1" t="n">
        <v>46083.57572916667</v>
      </c>
      <c r="C153" s="1" t="n">
        <v>46188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32299-2025</t>
        </is>
      </c>
      <c r="B154" s="1" t="n">
        <v>45835</v>
      </c>
      <c r="C154" s="1" t="n">
        <v>46188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12803-2026</t>
        </is>
      </c>
      <c r="B155" s="1" t="n">
        <v>46092</v>
      </c>
      <c r="C155" s="1" t="n">
        <v>46188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öst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10587-2022</t>
        </is>
      </c>
      <c r="B156" s="1" t="n">
        <v>44624</v>
      </c>
      <c r="C156" s="1" t="n">
        <v>46188</v>
      </c>
      <c r="D156" t="inlineStr">
        <is>
          <t>GÄVLEBORGS LÄN</t>
        </is>
      </c>
      <c r="E156" t="inlineStr">
        <is>
          <t>HOFORS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31123-2021</t>
        </is>
      </c>
      <c r="B157" s="1" t="n">
        <v>44368</v>
      </c>
      <c r="C157" s="1" t="n">
        <v>46188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36763-2024</t>
        </is>
      </c>
      <c r="B158" s="1" t="n">
        <v>45538.36181712963</v>
      </c>
      <c r="C158" s="1" t="n">
        <v>46188</v>
      </c>
      <c r="D158" t="inlineStr">
        <is>
          <t>GÄVLEBORGS LÄN</t>
        </is>
      </c>
      <c r="E158" t="inlineStr">
        <is>
          <t>HOFORS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21027-2024</t>
        </is>
      </c>
      <c r="B159" s="1" t="n">
        <v>45439</v>
      </c>
      <c r="C159" s="1" t="n">
        <v>46188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21028-2024</t>
        </is>
      </c>
      <c r="B160" s="1" t="n">
        <v>45439</v>
      </c>
      <c r="C160" s="1" t="n">
        <v>46188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16371-2022</t>
        </is>
      </c>
      <c r="B161" s="1" t="n">
        <v>44671</v>
      </c>
      <c r="C161" s="1" t="n">
        <v>46188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57751-2024</t>
        </is>
      </c>
      <c r="B162" s="1" t="n">
        <v>45630.82424768519</v>
      </c>
      <c r="C162" s="1" t="n">
        <v>46188</v>
      </c>
      <c r="D162" t="inlineStr">
        <is>
          <t>GÄVLEBORGS LÄN</t>
        </is>
      </c>
      <c r="E162" t="inlineStr">
        <is>
          <t>HOFORS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15810-2026</t>
        </is>
      </c>
      <c r="B163" s="1" t="n">
        <v>46107</v>
      </c>
      <c r="C163" s="1" t="n">
        <v>46188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2915-2025</t>
        </is>
      </c>
      <c r="B164" s="1" t="n">
        <v>45677.96424768519</v>
      </c>
      <c r="C164" s="1" t="n">
        <v>46188</v>
      </c>
      <c r="D164" t="inlineStr">
        <is>
          <t>GÄVLEBORGS LÄN</t>
        </is>
      </c>
      <c r="E164" t="inlineStr">
        <is>
          <t>HOFORS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32980-2023</t>
        </is>
      </c>
      <c r="B165" s="1" t="n">
        <v>45125.59980324074</v>
      </c>
      <c r="C165" s="1" t="n">
        <v>46188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62596-2023</t>
        </is>
      </c>
      <c r="B166" s="1" t="n">
        <v>45271</v>
      </c>
      <c r="C166" s="1" t="n">
        <v>46188</v>
      </c>
      <c r="D166" t="inlineStr">
        <is>
          <t>GÄVLEBORGS LÄN</t>
        </is>
      </c>
      <c r="E166" t="inlineStr">
        <is>
          <t>HOFORS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8448-2025</t>
        </is>
      </c>
      <c r="B167" s="1" t="n">
        <v>45709</v>
      </c>
      <c r="C167" s="1" t="n">
        <v>46188</v>
      </c>
      <c r="D167" t="inlineStr">
        <is>
          <t>GÄVLEBORGS LÄN</t>
        </is>
      </c>
      <c r="E167" t="inlineStr">
        <is>
          <t>HOFORS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47493-2024</t>
        </is>
      </c>
      <c r="B168" s="1" t="n">
        <v>45587.59410879629</v>
      </c>
      <c r="C168" s="1" t="n">
        <v>46188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16544-2026</t>
        </is>
      </c>
      <c r="B169" s="1" t="n">
        <v>46112.50895833333</v>
      </c>
      <c r="C169" s="1" t="n">
        <v>46188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10161-2023</t>
        </is>
      </c>
      <c r="B170" s="1" t="n">
        <v>44986</v>
      </c>
      <c r="C170" s="1" t="n">
        <v>46188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17170-2026</t>
        </is>
      </c>
      <c r="B171" s="1" t="n">
        <v>46115.7612962963</v>
      </c>
      <c r="C171" s="1" t="n">
        <v>46188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36349-2025</t>
        </is>
      </c>
      <c r="B172" s="1" t="n">
        <v>45868.48269675926</v>
      </c>
      <c r="C172" s="1" t="n">
        <v>46188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23326-2026</t>
        </is>
      </c>
      <c r="B173" s="1" t="n">
        <v>46162.54197916666</v>
      </c>
      <c r="C173" s="1" t="n">
        <v>46188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23334-2026</t>
        </is>
      </c>
      <c r="B174" s="1" t="n">
        <v>46162.55135416667</v>
      </c>
      <c r="C174" s="1" t="n">
        <v>46188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37444-2025</t>
        </is>
      </c>
      <c r="B175" s="1" t="n">
        <v>45877.54305555556</v>
      </c>
      <c r="C175" s="1" t="n">
        <v>46188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34232-2023</t>
        </is>
      </c>
      <c r="B176" s="1" t="n">
        <v>45127</v>
      </c>
      <c r="C176" s="1" t="n">
        <v>46188</v>
      </c>
      <c r="D176" t="inlineStr">
        <is>
          <t>GÄVLEBORGS LÄN</t>
        </is>
      </c>
      <c r="E176" t="inlineStr">
        <is>
          <t>HOFORS</t>
        </is>
      </c>
      <c r="F176" t="inlineStr">
        <is>
          <t>Bergvik skog väst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22288-2026</t>
        </is>
      </c>
      <c r="B177" s="1" t="n">
        <v>46154</v>
      </c>
      <c r="C177" s="1" t="n">
        <v>46188</v>
      </c>
      <c r="D177" t="inlineStr">
        <is>
          <t>GÄVLEBORGS LÄN</t>
        </is>
      </c>
      <c r="E177" t="inlineStr">
        <is>
          <t>HOFORS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HYPERLINK("https://klasma.github.io/Logging_2104/knärot/A 22288-2026 karta knärot.png", "A 22288-2026")</f>
        <v/>
      </c>
      <c r="V177">
        <f>HYPERLINK("https://klasma.github.io/Logging_2104/klagomål/A 22288-2026 FSC-klagomål.docx", "A 22288-2026")</f>
        <v/>
      </c>
      <c r="W177">
        <f>HYPERLINK("https://klasma.github.io/Logging_2104/klagomålsmail/A 22288-2026 FSC-klagomål mail.docx", "A 22288-2026")</f>
        <v/>
      </c>
      <c r="X177">
        <f>HYPERLINK("https://klasma.github.io/Logging_2104/tillsyn/A 22288-2026 tillsynsbegäran.docx", "A 22288-2026")</f>
        <v/>
      </c>
      <c r="Y177">
        <f>HYPERLINK("https://klasma.github.io/Logging_2104/tillsynsmail/A 22288-2026 tillsynsbegäran mail.docx", "A 22288-2026")</f>
        <v/>
      </c>
    </row>
    <row r="178" ht="15" customHeight="1">
      <c r="A178" t="inlineStr">
        <is>
          <t>A 23833-2026</t>
        </is>
      </c>
      <c r="B178" s="1" t="n">
        <v>46167.31614583333</v>
      </c>
      <c r="C178" s="1" t="n">
        <v>46188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37988-2025</t>
        </is>
      </c>
      <c r="B179" s="1" t="n">
        <v>45881.70454861111</v>
      </c>
      <c r="C179" s="1" t="n">
        <v>46188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8321-2026</t>
        </is>
      </c>
      <c r="B180" s="1" t="n">
        <v>46064.60894675926</v>
      </c>
      <c r="C180" s="1" t="n">
        <v>46188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22226-2024</t>
        </is>
      </c>
      <c r="B181" s="1" t="n">
        <v>45446.4203587963</v>
      </c>
      <c r="C181" s="1" t="n">
        <v>46188</v>
      </c>
      <c r="D181" t="inlineStr">
        <is>
          <t>GÄVLEBORGS LÄN</t>
        </is>
      </c>
      <c r="E181" t="inlineStr">
        <is>
          <t>HOFORS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24342-2026</t>
        </is>
      </c>
      <c r="B182" s="1" t="n">
        <v>46169.54778935185</v>
      </c>
      <c r="C182" s="1" t="n">
        <v>46188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37693-2023</t>
        </is>
      </c>
      <c r="B183" s="1" t="n">
        <v>45159.57056712963</v>
      </c>
      <c r="C183" s="1" t="n">
        <v>46188</v>
      </c>
      <c r="D183" t="inlineStr">
        <is>
          <t>GÄVLEBORGS LÄN</t>
        </is>
      </c>
      <c r="E183" t="inlineStr">
        <is>
          <t>HOFORS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11873-2026</t>
        </is>
      </c>
      <c r="B184" s="1" t="n">
        <v>46085</v>
      </c>
      <c r="C184" s="1" t="n">
        <v>46188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24258-2026</t>
        </is>
      </c>
      <c r="B185" s="1" t="n">
        <v>46169.31497685185</v>
      </c>
      <c r="C185" s="1" t="n">
        <v>46188</v>
      </c>
      <c r="D185" t="inlineStr">
        <is>
          <t>GÄVLEBORGS LÄN</t>
        </is>
      </c>
      <c r="E185" t="inlineStr">
        <is>
          <t>HOFORS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12705-2026</t>
        </is>
      </c>
      <c r="B186" s="1" t="n">
        <v>46091</v>
      </c>
      <c r="C186" s="1" t="n">
        <v>46188</v>
      </c>
      <c r="D186" t="inlineStr">
        <is>
          <t>GÄVLEBORGS LÄN</t>
        </is>
      </c>
      <c r="E186" t="inlineStr">
        <is>
          <t>HOFORS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19401-2026</t>
        </is>
      </c>
      <c r="B187" s="1" t="n">
        <v>46133.58155092593</v>
      </c>
      <c r="C187" s="1" t="n">
        <v>46188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öst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48063-2024</t>
        </is>
      </c>
      <c r="B188" s="1" t="n">
        <v>45589.55237268518</v>
      </c>
      <c r="C188" s="1" t="n">
        <v>46188</v>
      </c>
      <c r="D188" t="inlineStr">
        <is>
          <t>GÄVLEBORGS LÄN</t>
        </is>
      </c>
      <c r="E188" t="inlineStr">
        <is>
          <t>HOFORS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17762-2022</t>
        </is>
      </c>
      <c r="B189" s="1" t="n">
        <v>44680</v>
      </c>
      <c r="C189" s="1" t="n">
        <v>46188</v>
      </c>
      <c r="D189" t="inlineStr">
        <is>
          <t>GÄVLEBORGS LÄN</t>
        </is>
      </c>
      <c r="E189" t="inlineStr">
        <is>
          <t>HOFORS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13745-2023</t>
        </is>
      </c>
      <c r="B190" s="1" t="n">
        <v>45007</v>
      </c>
      <c r="C190" s="1" t="n">
        <v>46188</v>
      </c>
      <c r="D190" t="inlineStr">
        <is>
          <t>GÄVLEBORGS LÄN</t>
        </is>
      </c>
      <c r="E190" t="inlineStr">
        <is>
          <t>HOFORS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64036-2025</t>
        </is>
      </c>
      <c r="B191" s="1" t="n">
        <v>46021</v>
      </c>
      <c r="C191" s="1" t="n">
        <v>46188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16555-2026</t>
        </is>
      </c>
      <c r="B192" s="1" t="n">
        <v>46112.55027777778</v>
      </c>
      <c r="C192" s="1" t="n">
        <v>46188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43885-2025</t>
        </is>
      </c>
      <c r="B193" s="1" t="n">
        <v>45912.69076388889</v>
      </c>
      <c r="C193" s="1" t="n">
        <v>46188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35136-2023</t>
        </is>
      </c>
      <c r="B194" s="1" t="n">
        <v>45145.52915509259</v>
      </c>
      <c r="C194" s="1" t="n">
        <v>46188</v>
      </c>
      <c r="D194" t="inlineStr">
        <is>
          <t>GÄVLEBORGS LÄN</t>
        </is>
      </c>
      <c r="E194" t="inlineStr">
        <is>
          <t>HOFORS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46188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11277-2026</t>
        </is>
      </c>
      <c r="B196" s="1" t="n">
        <v>46080</v>
      </c>
      <c r="C196" s="1" t="n">
        <v>46188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25474-2024</t>
        </is>
      </c>
      <c r="B197" s="1" t="n">
        <v>45463.44631944445</v>
      </c>
      <c r="C197" s="1" t="n">
        <v>46188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31607-2023</t>
        </is>
      </c>
      <c r="B198" s="1" t="n">
        <v>45117</v>
      </c>
      <c r="C198" s="1" t="n">
        <v>46188</v>
      </c>
      <c r="D198" t="inlineStr">
        <is>
          <t>GÄVLEBORGS LÄN</t>
        </is>
      </c>
      <c r="E198" t="inlineStr">
        <is>
          <t>HOFORS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31611-2023</t>
        </is>
      </c>
      <c r="B199" s="1" t="n">
        <v>45117</v>
      </c>
      <c r="C199" s="1" t="n">
        <v>46188</v>
      </c>
      <c r="D199" t="inlineStr">
        <is>
          <t>GÄVLEBORGS LÄN</t>
        </is>
      </c>
      <c r="E199" t="inlineStr">
        <is>
          <t>HOFORS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26515-2026</t>
        </is>
      </c>
      <c r="B200" s="1" t="n">
        <v>46183.58010416666</v>
      </c>
      <c r="C200" s="1" t="n">
        <v>46188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15217-2026</t>
        </is>
      </c>
      <c r="B201" s="1" t="n">
        <v>46105.51422453704</v>
      </c>
      <c r="C201" s="1" t="n">
        <v>46188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12922-2026</t>
        </is>
      </c>
      <c r="B202" s="1" t="n">
        <v>46092.60274305556</v>
      </c>
      <c r="C202" s="1" t="n">
        <v>46188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26513-2026</t>
        </is>
      </c>
      <c r="B203" s="1" t="n">
        <v>46183.57851851852</v>
      </c>
      <c r="C203" s="1" t="n">
        <v>46188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26516-2026</t>
        </is>
      </c>
      <c r="B204" s="1" t="n">
        <v>46183.58097222223</v>
      </c>
      <c r="C204" s="1" t="n">
        <v>46188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57400-2024</t>
        </is>
      </c>
      <c r="B205" s="1" t="n">
        <v>45629.71085648148</v>
      </c>
      <c r="C205" s="1" t="n">
        <v>46188</v>
      </c>
      <c r="D205" t="inlineStr">
        <is>
          <t>GÄVLEBORGS LÄN</t>
        </is>
      </c>
      <c r="E205" t="inlineStr">
        <is>
          <t>HOFORS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36278-2024</t>
        </is>
      </c>
      <c r="B206" s="1" t="n">
        <v>45534.58508101852</v>
      </c>
      <c r="C206" s="1" t="n">
        <v>46188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45965-2025</t>
        </is>
      </c>
      <c r="B207" s="1" t="n">
        <v>45924.35655092593</v>
      </c>
      <c r="C207" s="1" t="n">
        <v>46188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11871-2026</t>
        </is>
      </c>
      <c r="B208" s="1" t="n">
        <v>46085</v>
      </c>
      <c r="C208" s="1" t="n">
        <v>46188</v>
      </c>
      <c r="D208" t="inlineStr">
        <is>
          <t>GÄVLEBORGS LÄN</t>
        </is>
      </c>
      <c r="E208" t="inlineStr">
        <is>
          <t>HOFORS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16888-2026</t>
        </is>
      </c>
      <c r="B209" s="1" t="n">
        <v>46113</v>
      </c>
      <c r="C209" s="1" t="n">
        <v>46188</v>
      </c>
      <c r="D209" t="inlineStr">
        <is>
          <t>GÄVLEBORGS LÄN</t>
        </is>
      </c>
      <c r="E209" t="inlineStr">
        <is>
          <t>HOFORS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22129-2023</t>
        </is>
      </c>
      <c r="B210" s="1" t="n">
        <v>45069</v>
      </c>
      <c r="C210" s="1" t="n">
        <v>46188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47359-2024</t>
        </is>
      </c>
      <c r="B211" s="1" t="n">
        <v>45587.43547453704</v>
      </c>
      <c r="C211" s="1" t="n">
        <v>46188</v>
      </c>
      <c r="D211" t="inlineStr">
        <is>
          <t>GÄVLEBORGS LÄN</t>
        </is>
      </c>
      <c r="E211" t="inlineStr">
        <is>
          <t>HOFORS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31645-2024</t>
        </is>
      </c>
      <c r="B212" s="1" t="n">
        <v>45506.60777777778</v>
      </c>
      <c r="C212" s="1" t="n">
        <v>46188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64359-2023</t>
        </is>
      </c>
      <c r="B213" s="1" t="n">
        <v>45280</v>
      </c>
      <c r="C213" s="1" t="n">
        <v>46188</v>
      </c>
      <c r="D213" t="inlineStr">
        <is>
          <t>GÄVLEBORGS LÄN</t>
        </is>
      </c>
      <c r="E213" t="inlineStr">
        <is>
          <t>HOFORS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58787-2021</t>
        </is>
      </c>
      <c r="B214" s="1" t="n">
        <v>44489.56234953704</v>
      </c>
      <c r="C214" s="1" t="n">
        <v>46188</v>
      </c>
      <c r="D214" t="inlineStr">
        <is>
          <t>GÄVLEBORGS LÄN</t>
        </is>
      </c>
      <c r="E214" t="inlineStr">
        <is>
          <t>HOFORS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46188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13473-2024</t>
        </is>
      </c>
      <c r="B216" s="1" t="n">
        <v>45387.5827662037</v>
      </c>
      <c r="C216" s="1" t="n">
        <v>46188</v>
      </c>
      <c r="D216" t="inlineStr">
        <is>
          <t>GÄVLEBORGS LÄN</t>
        </is>
      </c>
      <c r="E216" t="inlineStr">
        <is>
          <t>HOFORS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28133-2024</t>
        </is>
      </c>
      <c r="B217" s="1" t="n">
        <v>45476.69053240741</v>
      </c>
      <c r="C217" s="1" t="n">
        <v>46188</v>
      </c>
      <c r="D217" t="inlineStr">
        <is>
          <t>GÄVLEBORGS LÄN</t>
        </is>
      </c>
      <c r="E217" t="inlineStr">
        <is>
          <t>HOFORS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37744-2022</t>
        </is>
      </c>
      <c r="B218" s="1" t="n">
        <v>44810.58422453704</v>
      </c>
      <c r="C218" s="1" t="n">
        <v>46188</v>
      </c>
      <c r="D218" t="inlineStr">
        <is>
          <t>GÄVLEBORGS LÄN</t>
        </is>
      </c>
      <c r="E218" t="inlineStr">
        <is>
          <t>HOFORS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10602-2022</t>
        </is>
      </c>
      <c r="B219" s="1" t="n">
        <v>44624</v>
      </c>
      <c r="C219" s="1" t="n">
        <v>46188</v>
      </c>
      <c r="D219" t="inlineStr">
        <is>
          <t>GÄVLEBORGS LÄN</t>
        </is>
      </c>
      <c r="E219" t="inlineStr">
        <is>
          <t>HOFORS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47531-2021</t>
        </is>
      </c>
      <c r="B220" s="1" t="n">
        <v>44447</v>
      </c>
      <c r="C220" s="1" t="n">
        <v>46188</v>
      </c>
      <c r="D220" t="inlineStr">
        <is>
          <t>GÄVLEBORGS LÄN</t>
        </is>
      </c>
      <c r="E220" t="inlineStr">
        <is>
          <t>HOFORS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11607-2023</t>
        </is>
      </c>
      <c r="B221" s="1" t="n">
        <v>44994</v>
      </c>
      <c r="C221" s="1" t="n">
        <v>46188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46188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46188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6958-2024</t>
        </is>
      </c>
      <c r="B224" s="1" t="n">
        <v>45343</v>
      </c>
      <c r="C224" s="1" t="n">
        <v>46188</v>
      </c>
      <c r="D224" t="inlineStr">
        <is>
          <t>GÄVLEBORGS LÄN</t>
        </is>
      </c>
      <c r="E224" t="inlineStr">
        <is>
          <t>HOFORS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54826-2021</t>
        </is>
      </c>
      <c r="B225" s="1" t="n">
        <v>44473</v>
      </c>
      <c r="C225" s="1" t="n">
        <v>46188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17185-2025</t>
        </is>
      </c>
      <c r="B226" s="1" t="n">
        <v>45755</v>
      </c>
      <c r="C226" s="1" t="n">
        <v>46188</v>
      </c>
      <c r="D226" t="inlineStr">
        <is>
          <t>GÄVLEBORGS LÄN</t>
        </is>
      </c>
      <c r="E226" t="inlineStr">
        <is>
          <t>HOFORS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47639-2021</t>
        </is>
      </c>
      <c r="B227" s="1" t="n">
        <v>44448.3966087963</v>
      </c>
      <c r="C227" s="1" t="n">
        <v>46188</v>
      </c>
      <c r="D227" t="inlineStr">
        <is>
          <t>GÄVLEBORGS LÄN</t>
        </is>
      </c>
      <c r="E227" t="inlineStr">
        <is>
          <t>HOFORS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18347-2025</t>
        </is>
      </c>
      <c r="B228" s="1" t="n">
        <v>45762.52913194444</v>
      </c>
      <c r="C228" s="1" t="n">
        <v>46188</v>
      </c>
      <c r="D228" t="inlineStr">
        <is>
          <t>GÄVLEBORGS LÄN</t>
        </is>
      </c>
      <c r="E228" t="inlineStr">
        <is>
          <t>HOFORS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31613-2023</t>
        </is>
      </c>
      <c r="B229" s="1" t="n">
        <v>45117</v>
      </c>
      <c r="C229" s="1" t="n">
        <v>46188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2026-06-15T09:24:50Z</dcterms:created>
  <dcterms:modified xmlns:dcterms="http://purl.org/dc/terms/" xmlns:xsi="http://www.w3.org/2001/XMLSchema-instance" xsi:type="dcterms:W3CDTF">2026-06-15T09:24:50Z</dcterms:modified>
</cp:coreProperties>
</file>