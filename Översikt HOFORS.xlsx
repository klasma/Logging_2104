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8217-2026</t>
        </is>
      </c>
      <c r="B2" t="inlineStr">
        <is>
          <t>avverkningsanmälan</t>
        </is>
      </c>
      <c r="C2" t="inlineStr">
        <is>
          <t>Föryngringsavverkning</t>
        </is>
      </c>
      <c r="D2" s="1" t="n">
        <v>46064</v>
      </c>
      <c r="E2" s="1" t="n">
        <v>46223</v>
      </c>
      <c r="F2" t="inlineStr">
        <is>
          <t>GÄVLEBORGS LÄN</t>
        </is>
      </c>
      <c r="G2" t="inlineStr">
        <is>
          <t>HOFORS</t>
        </is>
      </c>
      <c r="I2" t="n">
        <v>5.6</v>
      </c>
      <c r="J2" t="n">
        <v>6</v>
      </c>
      <c r="K2" t="n">
        <v>11</v>
      </c>
      <c r="L2" t="n">
        <v>6</v>
      </c>
      <c r="M2" t="n">
        <v>2</v>
      </c>
      <c r="N2" t="n">
        <v>1</v>
      </c>
      <c r="O2" t="n">
        <v>0</v>
      </c>
      <c r="P2" t="n">
        <v>0</v>
      </c>
      <c r="Q2" t="n">
        <v>9</v>
      </c>
      <c r="R2" t="n">
        <v>3</v>
      </c>
      <c r="S2" t="n">
        <v>25</v>
      </c>
      <c r="T2" t="n">
        <v>55</v>
      </c>
      <c r="U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2">
        <f>HYPERLINK("https://klasma.github.io/Logging_2104/artfynd/A 8217-2026 artfynd.xlsx", "A 8217-2026")</f>
        <v/>
      </c>
      <c r="W2">
        <f>HYPERLINK("https://klasma.github.io/Logging_2104/kartor/A 8217-2026 karta.png", "A 8217-2026")</f>
        <v/>
      </c>
      <c r="X2">
        <f>HYPERLINK("https://klasma.github.io/Logging_2104/kartor_geotiff/A 8217-2026 georefererad karta.tif", "A 8217-2026")</f>
        <v/>
      </c>
      <c r="Y2">
        <f>HYPERLINK("https://klasma.github.io/Logging_2104/knärot/A 8217-2026 karta knärot.png", "A 8217-2026")</f>
        <v/>
      </c>
      <c r="Z2">
        <f>HYPERLINK("https://klasma.github.io/Logging_2104/klagomål/A 8217-2026 FSC-klagomål.docx", "A 8217-2026")</f>
        <v/>
      </c>
      <c r="AA2">
        <f>HYPERLINK("https://klasma.github.io/Logging_2104/klagomålsmail/A 8217-2026 FSC-klagomål mail.docx", "A 8217-2026")</f>
        <v/>
      </c>
      <c r="AB2">
        <f>HYPERLINK("https://klasma.github.io/Logging_2104/tillsyn/A 8217-2026 tillsynsbegäran.docx", "A 8217-2026")</f>
        <v/>
      </c>
      <c r="AC2">
        <f>HYPERLINK("https://klasma.github.io/Logging_2104/tillsynsmail/A 8217-2026 tillsynsbegäran mail.docx", "A 8217-2026")</f>
        <v/>
      </c>
      <c r="AD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46223</v>
      </c>
      <c r="F3" t="inlineStr">
        <is>
          <t>GÄVLEBORGS LÄN</t>
        </is>
      </c>
      <c r="G3" t="inlineStr">
        <is>
          <t>HOFORS</t>
        </is>
      </c>
      <c r="I3" t="n">
        <v>2.8</v>
      </c>
      <c r="J3" t="n">
        <v>3</v>
      </c>
      <c r="K3" t="n">
        <v>14</v>
      </c>
      <c r="L3" t="n">
        <v>3</v>
      </c>
      <c r="M3" t="n">
        <v>1</v>
      </c>
      <c r="N3" t="n">
        <v>2</v>
      </c>
      <c r="O3" t="n">
        <v>0</v>
      </c>
      <c r="P3" t="n">
        <v>0</v>
      </c>
      <c r="Q3" t="n">
        <v>6</v>
      </c>
      <c r="R3" t="n">
        <v>3</v>
      </c>
      <c r="S3" t="n">
        <v>22</v>
      </c>
      <c r="T3" t="n">
        <v>93</v>
      </c>
      <c r="U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3">
        <f>HYPERLINK("https://klasma.github.io/Logging_2104/artfynd/A 21958-2025 artfynd.xlsx", "A 21958-2025")</f>
        <v/>
      </c>
      <c r="W3">
        <f>HYPERLINK("https://klasma.github.io/Logging_2104/kartor/A 21958-2025 karta.png", "A 21958-2025")</f>
        <v/>
      </c>
      <c r="X3">
        <f>HYPERLINK("https://klasma.github.io/Logging_2104/kartor_geotiff/A 21958-2025 georefererad karta.tif", "A 21958-2025")</f>
        <v/>
      </c>
      <c r="Y3">
        <f>HYPERLINK("https://klasma.github.io/Logging_2104/knärot/A 21958-2025 karta knärot.png", "A 21958-2025")</f>
        <v/>
      </c>
      <c r="Z3">
        <f>HYPERLINK("https://klasma.github.io/Logging_2104/klagomål/A 21958-2025 FSC-klagomål.docx", "A 21958-2025")</f>
        <v/>
      </c>
      <c r="AA3">
        <f>HYPERLINK("https://klasma.github.io/Logging_2104/klagomålsmail/A 21958-2025 FSC-klagomål mail.docx", "A 21958-2025")</f>
        <v/>
      </c>
      <c r="AB3">
        <f>HYPERLINK("https://klasma.github.io/Logging_2104/tillsyn/A 21958-2025 tillsynsbegäran.docx", "A 21958-2025")</f>
        <v/>
      </c>
      <c r="AC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46223</v>
      </c>
      <c r="F4" t="inlineStr">
        <is>
          <t>GÄVLEBORGS LÄN</t>
        </is>
      </c>
      <c r="G4" t="inlineStr">
        <is>
          <t>HOFORS</t>
        </is>
      </c>
      <c r="I4" t="n">
        <v>1.7</v>
      </c>
      <c r="J4" t="n">
        <v>3</v>
      </c>
      <c r="K4" t="n">
        <v>3</v>
      </c>
      <c r="L4" t="n">
        <v>6</v>
      </c>
      <c r="M4" t="n">
        <v>2</v>
      </c>
      <c r="N4" t="n">
        <v>0</v>
      </c>
      <c r="O4" t="n">
        <v>0</v>
      </c>
      <c r="P4" t="n">
        <v>0</v>
      </c>
      <c r="Q4" t="n">
        <v>8</v>
      </c>
      <c r="R4" t="n">
        <v>2</v>
      </c>
      <c r="S4" t="n">
        <v>12</v>
      </c>
      <c r="T4" t="n">
        <v>35</v>
      </c>
      <c r="U4" s="2" t="inlineStr">
        <is>
          <t>Garnlav
Knärot
Kötticka
Rosenticka
Rynkskinn
Tretåig hackspett
Ullticka
Vedskivlav
Bronshjon
Thomsons trägnagare
Vedticka
Tjäder</t>
        </is>
      </c>
      <c r="V4">
        <f>HYPERLINK("https://klasma.github.io/Logging_2104/artfynd/S 1534-2026 artfynd.xlsx", "S 1534-2026")</f>
        <v/>
      </c>
      <c r="W4">
        <f>HYPERLINK("https://klasma.github.io/Logging_2104/kartor/S 1534-2026 karta.png", "S 1534-2026")</f>
        <v/>
      </c>
      <c r="X4">
        <f>HYPERLINK("https://klasma.github.io/Logging_2104/kartor_geotiff/S 1534-2026 georefererad karta.tif", "S 1534-2026")</f>
        <v/>
      </c>
      <c r="Y4">
        <f>HYPERLINK("https://klasma.github.io/Logging_2104/knärot/S 1534-2026 karta knärot.png", "S 1534-2026")</f>
        <v/>
      </c>
      <c r="Z4">
        <f>HYPERLINK("https://klasma.github.io/Logging_2104/klagomål/S 1534-2026 FSC-klagomål.docx", "S 1534-2026")</f>
        <v/>
      </c>
      <c r="AA4">
        <f>HYPERLINK("https://klasma.github.io/Logging_2104/klagomålsmail/S 1534-2026 FSC-klagomål mail.docx", "S 1534-2026")</f>
        <v/>
      </c>
      <c r="AB4">
        <f>HYPERLINK("https://klasma.github.io/Logging_2104/tillsyn/S 1534-2026 tillsynsbegäran.docx", "S 1534-2026")</f>
        <v/>
      </c>
      <c r="AC4">
        <f>HYPERLINK("https://klasma.github.io/Logging_2104/tillsynsmail/S 1534-2026 tillsynsbegäran mail.docx", "S 1534-2026")</f>
        <v/>
      </c>
      <c r="AD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46223</v>
      </c>
      <c r="F5" t="inlineStr">
        <is>
          <t>GÄVLEBORGS LÄN</t>
        </is>
      </c>
      <c r="G5" t="inlineStr">
        <is>
          <t>HOFORS</t>
        </is>
      </c>
      <c r="I5" t="n">
        <v>1.1</v>
      </c>
      <c r="J5" t="n">
        <v>2</v>
      </c>
      <c r="K5" t="n">
        <v>3</v>
      </c>
      <c r="L5" t="n">
        <v>5</v>
      </c>
      <c r="M5" t="n">
        <v>0</v>
      </c>
      <c r="N5" t="n">
        <v>1</v>
      </c>
      <c r="O5" t="n">
        <v>0</v>
      </c>
      <c r="P5" t="n">
        <v>0</v>
      </c>
      <c r="Q5" t="n">
        <v>6</v>
      </c>
      <c r="R5" t="n">
        <v>1</v>
      </c>
      <c r="S5" t="n">
        <v>10</v>
      </c>
      <c r="T5" t="n">
        <v>14</v>
      </c>
      <c r="U5" s="2" t="inlineStr">
        <is>
          <t>Koppartaggsvamp
Dropptaggsvamp
Fjällig taggsvamp s.str.
Flattoppad klubbsvamp
Gultoppig fingersvamp
Ullticka
Purpurknipprot
Svavelriska
Trådticka
Blåsippa</t>
        </is>
      </c>
      <c r="V5">
        <f>HYPERLINK("https://klasma.github.io/Logging_2104/artfynd/A 528-2024 artfynd.xlsx", "A 528-2024")</f>
        <v/>
      </c>
      <c r="W5">
        <f>HYPERLINK("https://klasma.github.io/Logging_2104/kartor/A 528-2024 karta.png", "A 528-2024")</f>
        <v/>
      </c>
      <c r="X5">
        <f>HYPERLINK("https://klasma.github.io/Logging_2104/kartor_geotiff/A 528-2024 georefererad karta.tif", "A 528-2024")</f>
        <v/>
      </c>
      <c r="Z5">
        <f>HYPERLINK("https://klasma.github.io/Logging_2104/klagomål/A 528-2024 FSC-klagomål.docx", "A 528-2024")</f>
        <v/>
      </c>
      <c r="AA5">
        <f>HYPERLINK("https://klasma.github.io/Logging_2104/klagomålsmail/A 528-2024 FSC-klagomål mail.docx", "A 528-2024")</f>
        <v/>
      </c>
      <c r="AB5">
        <f>HYPERLINK("https://klasma.github.io/Logging_2104/tillsyn/A 528-2024 tillsynsbegäran.docx", "A 528-2024")</f>
        <v/>
      </c>
      <c r="AC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46223</v>
      </c>
      <c r="F6" t="inlineStr">
        <is>
          <t>GÄVLEBORGS LÄN</t>
        </is>
      </c>
      <c r="G6" t="inlineStr">
        <is>
          <t>HOFORS</t>
        </is>
      </c>
      <c r="I6" t="n">
        <v>1.5</v>
      </c>
      <c r="J6" t="n">
        <v>2</v>
      </c>
      <c r="K6" t="n">
        <v>3</v>
      </c>
      <c r="L6" t="n">
        <v>5</v>
      </c>
      <c r="M6" t="n">
        <v>0</v>
      </c>
      <c r="N6" t="n">
        <v>1</v>
      </c>
      <c r="O6" t="n">
        <v>0</v>
      </c>
      <c r="P6" t="n">
        <v>0</v>
      </c>
      <c r="Q6" t="n">
        <v>6</v>
      </c>
      <c r="R6" t="n">
        <v>1</v>
      </c>
      <c r="S6" t="n">
        <v>10</v>
      </c>
      <c r="T6" t="n">
        <v>14</v>
      </c>
      <c r="U6" s="2" t="inlineStr">
        <is>
          <t>Koppartaggsvamp
Dropptaggsvamp
Fjällig taggsvamp s.str.
Flattoppad klubbsvamp
Gultoppig fingersvamp
Ullticka
Purpurknipprot
Svavelriska
Trådticka
Blåsippa</t>
        </is>
      </c>
      <c r="V6">
        <f>HYPERLINK("https://klasma.github.io/Logging_2104/artfynd/S 540-2026 artfynd.xlsx", "S 540-2026")</f>
        <v/>
      </c>
      <c r="W6">
        <f>HYPERLINK("https://klasma.github.io/Logging_2104/kartor/S 540-2026 karta.png", "S 540-2026")</f>
        <v/>
      </c>
      <c r="X6">
        <f>HYPERLINK("https://klasma.github.io/Logging_2104/kartor_geotiff/S 540-2026 georefererad karta.tif", "S 540-2026")</f>
        <v/>
      </c>
      <c r="Z6">
        <f>HYPERLINK("https://klasma.github.io/Logging_2104/klagomål/S 540-2026 FSC-klagomål.docx", "S 540-2026")</f>
        <v/>
      </c>
      <c r="AA6">
        <f>HYPERLINK("https://klasma.github.io/Logging_2104/klagomålsmail/S 540-2026 FSC-klagomål mail.docx", "S 540-2026")</f>
        <v/>
      </c>
      <c r="AB6">
        <f>HYPERLINK("https://klasma.github.io/Logging_2104/tillsyn/S 540-2026 tillsynsbegäran.docx", "S 540-2026")</f>
        <v/>
      </c>
      <c r="AC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46223</v>
      </c>
      <c r="F7" t="inlineStr">
        <is>
          <t>GÄVLEBORGS LÄN</t>
        </is>
      </c>
      <c r="G7" t="inlineStr">
        <is>
          <t>HOFORS</t>
        </is>
      </c>
      <c r="I7" t="n">
        <v>2.7</v>
      </c>
      <c r="J7" t="n">
        <v>3</v>
      </c>
      <c r="K7" t="n">
        <v>3</v>
      </c>
      <c r="L7" t="n">
        <v>4</v>
      </c>
      <c r="M7" t="n">
        <v>1</v>
      </c>
      <c r="N7" t="n">
        <v>0</v>
      </c>
      <c r="O7" t="n">
        <v>0</v>
      </c>
      <c r="P7" t="n">
        <v>0</v>
      </c>
      <c r="Q7" t="n">
        <v>5</v>
      </c>
      <c r="R7" t="n">
        <v>1</v>
      </c>
      <c r="S7" t="n">
        <v>9</v>
      </c>
      <c r="T7" t="n">
        <v>11</v>
      </c>
      <c r="U7" s="2" t="inlineStr">
        <is>
          <t>Knärot
Orange taggsvamp
Tretåig hackspett
Ullticka
Vedtrappmossa
Bronshjon
Kantarellvaxing
Vedticka
Blåsippa</t>
        </is>
      </c>
      <c r="V7">
        <f>HYPERLINK("https://klasma.github.io/Logging_2104/artfynd/A 23601-2026 artfynd.xlsx", "A 23601-2026")</f>
        <v/>
      </c>
      <c r="W7">
        <f>HYPERLINK("https://klasma.github.io/Logging_2104/kartor/A 23601-2026 karta.png", "A 23601-2026")</f>
        <v/>
      </c>
      <c r="X7">
        <f>HYPERLINK("https://klasma.github.io/Logging_2104/kartor_geotiff/A 23601-2026 georefererad karta.tif", "A 23601-2026")</f>
        <v/>
      </c>
      <c r="Y7">
        <f>HYPERLINK("https://klasma.github.io/Logging_2104/knärot/A 23601-2026 karta knärot.png", "A 23601-2026")</f>
        <v/>
      </c>
      <c r="Z7">
        <f>HYPERLINK("https://klasma.github.io/Logging_2104/klagomål/A 23601-2026 FSC-klagomål.docx", "A 23601-2026")</f>
        <v/>
      </c>
      <c r="AA7">
        <f>HYPERLINK("https://klasma.github.io/Logging_2104/klagomålsmail/A 23601-2026 FSC-klagomål mail.docx", "A 23601-2026")</f>
        <v/>
      </c>
      <c r="AB7">
        <f>HYPERLINK("https://klasma.github.io/Logging_2104/tillsyn/A 23601-2026 tillsynsbegäran.docx", "A 23601-2026")</f>
        <v/>
      </c>
      <c r="AC7">
        <f>HYPERLINK("https://klasma.github.io/Logging_2104/tillsynsmail/A 23601-2026 tillsynsbegäran mail.docx", "A 23601-2026")</f>
        <v/>
      </c>
      <c r="AD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46223</v>
      </c>
      <c r="F8" t="inlineStr">
        <is>
          <t>GÄVLEBORGS LÄN</t>
        </is>
      </c>
      <c r="G8" t="inlineStr">
        <is>
          <t>HOFORS</t>
        </is>
      </c>
      <c r="I8" t="n">
        <v>1.1</v>
      </c>
      <c r="J8" t="n">
        <v>0</v>
      </c>
      <c r="K8" t="n">
        <v>3</v>
      </c>
      <c r="L8" t="n">
        <v>4</v>
      </c>
      <c r="M8" t="n">
        <v>0</v>
      </c>
      <c r="N8" t="n">
        <v>1</v>
      </c>
      <c r="O8" t="n">
        <v>0</v>
      </c>
      <c r="P8" t="n">
        <v>0</v>
      </c>
      <c r="Q8" t="n">
        <v>5</v>
      </c>
      <c r="R8" t="n">
        <v>1</v>
      </c>
      <c r="S8" t="n">
        <v>8</v>
      </c>
      <c r="T8" t="n">
        <v>10</v>
      </c>
      <c r="U8" s="2" t="inlineStr">
        <is>
          <t>Koppartaggsvamp
Dropptaggsvamp
Fjällig taggsvamp s.str.
Flattoppad klubbsvamp
Gultoppig fingersvamp
Svavelriska
Trådticka
Zontaggsvamp</t>
        </is>
      </c>
      <c r="V8">
        <f>HYPERLINK("https://klasma.github.io/Logging_2104/artfynd/A 11868-2026 artfynd.xlsx", "A 11868-2026")</f>
        <v/>
      </c>
      <c r="W8">
        <f>HYPERLINK("https://klasma.github.io/Logging_2104/kartor/A 11868-2026 karta.png", "A 11868-2026")</f>
        <v/>
      </c>
      <c r="X8">
        <f>HYPERLINK("https://klasma.github.io/Logging_2104/kartor_geotiff/A 11868-2026 georefererad karta.tif", "A 11868-2026")</f>
        <v/>
      </c>
      <c r="Z8">
        <f>HYPERLINK("https://klasma.github.io/Logging_2104/klagomål/A 11868-2026 FSC-klagomål.docx", "A 11868-2026")</f>
        <v/>
      </c>
      <c r="AA8">
        <f>HYPERLINK("https://klasma.github.io/Logging_2104/klagomålsmail/A 11868-2026 FSC-klagomål mail.docx", "A 11868-2026")</f>
        <v/>
      </c>
      <c r="AB8">
        <f>HYPERLINK("https://klasma.github.io/Logging_2104/tillsyn/A 11868-2026 tillsynsbegäran.docx", "A 11868-2026")</f>
        <v/>
      </c>
      <c r="AC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46223</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s="2" t="inlineStr">
        <is>
          <t>Garnlav
Bronshjon
Flagellkvastmossa
Plattlummer
Vågbandad barkbock
Fläcknycklar</t>
        </is>
      </c>
      <c r="V9">
        <f>HYPERLINK("https://klasma.github.io/Logging_2104/artfynd/S 216-2024 artfynd.xlsx", "S 216-2024")</f>
        <v/>
      </c>
      <c r="W9">
        <f>HYPERLINK("https://klasma.github.io/Logging_2104/kartor/S 216-2024 karta.png", "S 216-2024")</f>
        <v/>
      </c>
      <c r="X9">
        <f>HYPERLINK("https://klasma.github.io/Logging_2104/kartor_geotiff/S 216-2024 georefererad karta.tif", "S 216-2024")</f>
        <v/>
      </c>
      <c r="Z9">
        <f>HYPERLINK("https://klasma.github.io/Logging_2104/klagomål/S 216-2024 FSC-klagomål.docx", "S 216-2024")</f>
        <v/>
      </c>
      <c r="AA9">
        <f>HYPERLINK("https://klasma.github.io/Logging_2104/klagomålsmail/S 216-2024 FSC-klagomål mail.docx", "S 216-2024")</f>
        <v/>
      </c>
      <c r="AB9">
        <f>HYPERLINK("https://klasma.github.io/Logging_2104/tillsyn/S 216-2024 tillsynsbegäran.docx", "S 216-2024")</f>
        <v/>
      </c>
      <c r="AC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46223</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s="2" t="inlineStr">
        <is>
          <t>Knärot
Fjällig taggsvamp s.str.
Motaggsvamp
Svartvit taggsvamp
Grönpyrola</t>
        </is>
      </c>
      <c r="V10">
        <f>HYPERLINK("https://klasma.github.io/Logging_2104/artfynd/A 38738-2023 artfynd.xlsx", "A 38738-2023")</f>
        <v/>
      </c>
      <c r="W10">
        <f>HYPERLINK("https://klasma.github.io/Logging_2104/kartor/A 38738-2023 karta.png", "A 38738-2023")</f>
        <v/>
      </c>
      <c r="X10">
        <f>HYPERLINK("https://klasma.github.io/Logging_2104/kartor_geotiff/A 38738-2023 georefererad karta.tif", "A 38738-2023")</f>
        <v/>
      </c>
      <c r="Y10">
        <f>HYPERLINK("https://klasma.github.io/Logging_2104/knärot/A 38738-2023 karta knärot.png", "A 38738-2023")</f>
        <v/>
      </c>
      <c r="Z10">
        <f>HYPERLINK("https://klasma.github.io/Logging_2104/klagomål/A 38738-2023 FSC-klagomål.docx", "A 38738-2023")</f>
        <v/>
      </c>
      <c r="AA10">
        <f>HYPERLINK("https://klasma.github.io/Logging_2104/klagomålsmail/A 38738-2023 FSC-klagomål mail.docx", "A 38738-2023")</f>
        <v/>
      </c>
      <c r="AB10">
        <f>HYPERLINK("https://klasma.github.io/Logging_2104/tillsyn/A 38738-2023 tillsynsbegäran.docx", "A 38738-2023")</f>
        <v/>
      </c>
      <c r="AC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46223</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s="2" t="inlineStr">
        <is>
          <t>Orange taggsvamp
Vedtrappmossa
Fläcknycklar
Revlummer</t>
        </is>
      </c>
      <c r="V11">
        <f>HYPERLINK("https://klasma.github.io/Logging_2104/artfynd/A 27434-2025 artfynd.xlsx", "A 27434-2025")</f>
        <v/>
      </c>
      <c r="W11">
        <f>HYPERLINK("https://klasma.github.io/Logging_2104/kartor/A 27434-2025 karta.png", "A 27434-2025")</f>
        <v/>
      </c>
      <c r="X11">
        <f>HYPERLINK("https://klasma.github.io/Logging_2104/kartor_geotiff/A 27434-2025 georefererad karta.tif", "A 27434-2025")</f>
        <v/>
      </c>
      <c r="Z11">
        <f>HYPERLINK("https://klasma.github.io/Logging_2104/klagomål/A 27434-2025 FSC-klagomål.docx", "A 27434-2025")</f>
        <v/>
      </c>
      <c r="AA11">
        <f>HYPERLINK("https://klasma.github.io/Logging_2104/klagomålsmail/A 27434-2025 FSC-klagomål mail.docx", "A 27434-2025")</f>
        <v/>
      </c>
      <c r="AB11">
        <f>HYPERLINK("https://klasma.github.io/Logging_2104/tillsyn/A 27434-2025 tillsynsbegäran.docx", "A 27434-2025")</f>
        <v/>
      </c>
      <c r="AC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46223</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s="2" t="inlineStr">
        <is>
          <t>Knärot
Björksplintborre
Vedticka
Tjäder</t>
        </is>
      </c>
      <c r="V12">
        <f>HYPERLINK("https://klasma.github.io/Logging_2104/artfynd/A 10436-2022 artfynd.xlsx", "A 10436-2022")</f>
        <v/>
      </c>
      <c r="W12">
        <f>HYPERLINK("https://klasma.github.io/Logging_2104/kartor/A 10436-2022 karta.png", "A 10436-2022")</f>
        <v/>
      </c>
      <c r="X12">
        <f>HYPERLINK("https://klasma.github.io/Logging_2104/kartor_geotiff/A 10436-2022 georefererad karta.tif", "A 10436-2022")</f>
        <v/>
      </c>
      <c r="Y12">
        <f>HYPERLINK("https://klasma.github.io/Logging_2104/knärot/A 10436-2022 karta knärot.png", "A 10436-2022")</f>
        <v/>
      </c>
      <c r="Z12">
        <f>HYPERLINK("https://klasma.github.io/Logging_2104/klagomål/A 10436-2022 FSC-klagomål.docx", "A 10436-2022")</f>
        <v/>
      </c>
      <c r="AA12">
        <f>HYPERLINK("https://klasma.github.io/Logging_2104/klagomålsmail/A 10436-2022 FSC-klagomål mail.docx", "A 10436-2022")</f>
        <v/>
      </c>
      <c r="AB12">
        <f>HYPERLINK("https://klasma.github.io/Logging_2104/tillsyn/A 10436-2022 tillsynsbegäran.docx", "A 10436-2022")</f>
        <v/>
      </c>
      <c r="AC12">
        <f>HYPERLINK("https://klasma.github.io/Logging_2104/tillsynsmail/A 10436-2022 tillsynsbegäran mail.docx", "A 10436-2022")</f>
        <v/>
      </c>
      <c r="AD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46223</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s="2" t="inlineStr">
        <is>
          <t>Knärot
Vedskivlav
Revlummer</t>
        </is>
      </c>
      <c r="V13">
        <f>HYPERLINK("https://klasma.github.io/Logging_2104/artfynd/A 35741-2025 artfynd.xlsx", "A 35741-2025")</f>
        <v/>
      </c>
      <c r="W13">
        <f>HYPERLINK("https://klasma.github.io/Logging_2104/kartor/A 35741-2025 karta.png", "A 35741-2025")</f>
        <v/>
      </c>
      <c r="X13">
        <f>HYPERLINK("https://klasma.github.io/Logging_2104/kartor_geotiff/A 35741-2025 georefererad karta.tif", "A 35741-2025")</f>
        <v/>
      </c>
      <c r="Y13">
        <f>HYPERLINK("https://klasma.github.io/Logging_2104/knärot/A 35741-2025 karta knärot.png", "A 35741-2025")</f>
        <v/>
      </c>
      <c r="Z13">
        <f>HYPERLINK("https://klasma.github.io/Logging_2104/klagomål/A 35741-2025 FSC-klagomål.docx", "A 35741-2025")</f>
        <v/>
      </c>
      <c r="AA13">
        <f>HYPERLINK("https://klasma.github.io/Logging_2104/klagomålsmail/A 35741-2025 FSC-klagomål mail.docx", "A 35741-2025")</f>
        <v/>
      </c>
      <c r="AB13">
        <f>HYPERLINK("https://klasma.github.io/Logging_2104/tillsyn/A 35741-2025 tillsynsbegäran.docx", "A 35741-2025")</f>
        <v/>
      </c>
      <c r="AC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46223</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s="2" t="inlineStr">
        <is>
          <t>Talltita
Tjäder
Revlummer</t>
        </is>
      </c>
      <c r="V14">
        <f>HYPERLINK("https://klasma.github.io/Logging_2104/artfynd/A 29063-2026 artfynd.xlsx", "A 29063-2026")</f>
        <v/>
      </c>
      <c r="W14">
        <f>HYPERLINK("https://klasma.github.io/Logging_2104/kartor/A 29063-2026 karta.png", "A 29063-2026")</f>
        <v/>
      </c>
      <c r="X14">
        <f>HYPERLINK("https://klasma.github.io/Logging_2104/kartor_geotiff/A 29063-2026 georefererad karta.tif", "A 29063-2026")</f>
        <v/>
      </c>
      <c r="Z14">
        <f>HYPERLINK("https://klasma.github.io/Logging_2104/klagomål/A 29063-2026 FSC-klagomål.docx", "A 29063-2026")</f>
        <v/>
      </c>
      <c r="AA14">
        <f>HYPERLINK("https://klasma.github.io/Logging_2104/klagomålsmail/A 29063-2026 FSC-klagomål mail.docx", "A 29063-2026")</f>
        <v/>
      </c>
      <c r="AB14">
        <f>HYPERLINK("https://klasma.github.io/Logging_2104/tillsyn/A 29063-2026 tillsynsbegäran.docx", "A 29063-2026")</f>
        <v/>
      </c>
      <c r="AC14">
        <f>HYPERLINK("https://klasma.github.io/Logging_2104/tillsynsmail/A 29063-2026 tillsynsbegäran mail.docx", "A 29063-2026")</f>
        <v/>
      </c>
      <c r="AD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46223</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s="2" t="inlineStr">
        <is>
          <t>Knärot
Blåsippa</t>
        </is>
      </c>
      <c r="V15">
        <f>HYPERLINK("https://klasma.github.io/Logging_2104/artfynd/A 38855-2022 artfynd.xlsx", "A 38855-2022")</f>
        <v/>
      </c>
      <c r="W15">
        <f>HYPERLINK("https://klasma.github.io/Logging_2104/kartor/A 38855-2022 karta.png", "A 38855-2022")</f>
        <v/>
      </c>
      <c r="X15">
        <f>HYPERLINK("https://klasma.github.io/Logging_2104/kartor_geotiff/A 38855-2022 georefererad karta.tif", "A 38855-2022")</f>
        <v/>
      </c>
      <c r="Y15">
        <f>HYPERLINK("https://klasma.github.io/Logging_2104/knärot/A 38855-2022 karta knärot.png", "A 38855-2022")</f>
        <v/>
      </c>
      <c r="Z15">
        <f>HYPERLINK("https://klasma.github.io/Logging_2104/klagomål/A 38855-2022 FSC-klagomål.docx", "A 38855-2022")</f>
        <v/>
      </c>
      <c r="AA15">
        <f>HYPERLINK("https://klasma.github.io/Logging_2104/klagomålsmail/A 38855-2022 FSC-klagomål mail.docx", "A 38855-2022")</f>
        <v/>
      </c>
      <c r="AB15">
        <f>HYPERLINK("https://klasma.github.io/Logging_2104/tillsyn/A 38855-2022 tillsynsbegäran.docx", "A 38855-2022")</f>
        <v/>
      </c>
      <c r="AC15">
        <f>HYPERLINK("https://klasma.github.io/Logging_2104/tillsynsmail/A 38855-2022 tillsynsbegäran mail.docx", "A 38855-2022")</f>
        <v/>
      </c>
    </row>
    <row r="16" ht="15" customHeight="1">
      <c r="A16" t="inlineStr">
        <is>
          <t>A 3870-2026</t>
        </is>
      </c>
      <c r="B16" t="inlineStr">
        <is>
          <t>avverkningsanmälan</t>
        </is>
      </c>
      <c r="C16" t="inlineStr">
        <is>
          <t>Föryngringsavverkning</t>
        </is>
      </c>
      <c r="D16" s="1" t="n">
        <v>46043</v>
      </c>
      <c r="E16" s="1" t="n">
        <v>46223</v>
      </c>
      <c r="F16" t="inlineStr">
        <is>
          <t>GÄVLEBORGS LÄN</t>
        </is>
      </c>
      <c r="G16" t="inlineStr">
        <is>
          <t>HOFORS</t>
        </is>
      </c>
      <c r="H16" t="inlineStr">
        <is>
          <t>Sveaskog</t>
        </is>
      </c>
      <c r="I16" t="n">
        <v>0.9</v>
      </c>
      <c r="J16" t="n">
        <v>0</v>
      </c>
      <c r="K16" t="n">
        <v>1</v>
      </c>
      <c r="L16" t="n">
        <v>0</v>
      </c>
      <c r="M16" t="n">
        <v>0</v>
      </c>
      <c r="N16" t="n">
        <v>1</v>
      </c>
      <c r="O16" t="n">
        <v>0</v>
      </c>
      <c r="P16" t="n">
        <v>0</v>
      </c>
      <c r="Q16" t="n">
        <v>1</v>
      </c>
      <c r="R16" t="n">
        <v>1</v>
      </c>
      <c r="S16" t="n">
        <v>2</v>
      </c>
      <c r="T16" t="n">
        <v>2</v>
      </c>
      <c r="U16" s="2" t="inlineStr">
        <is>
          <t>Skogsalm
Strutbräken</t>
        </is>
      </c>
      <c r="V16">
        <f>HYPERLINK("https://klasma.github.io/Logging_2104/artfynd/A 3870-2026 artfynd.xlsx", "A 3870-2026")</f>
        <v/>
      </c>
      <c r="W16">
        <f>HYPERLINK("https://klasma.github.io/Logging_2104/kartor/A 3870-2026 karta.png", "A 3870-2026")</f>
        <v/>
      </c>
      <c r="X16">
        <f>HYPERLINK("https://klasma.github.io/Logging_2104/kartor_geotiff/A 3870-2026 georefererad karta.tif", "A 3870-2026")</f>
        <v/>
      </c>
      <c r="Z16">
        <f>HYPERLINK("https://klasma.github.io/Logging_2104/klagomål/A 3870-2026 FSC-klagomål.docx", "A 3870-2026")</f>
        <v/>
      </c>
      <c r="AA16">
        <f>HYPERLINK("https://klasma.github.io/Logging_2104/klagomålsmail/A 3870-2026 FSC-klagomål mail.docx", "A 3870-2026")</f>
        <v/>
      </c>
      <c r="AB16">
        <f>HYPERLINK("https://klasma.github.io/Logging_2104/tillsyn/A 3870-2026 tillsynsbegäran.docx", "A 3870-2026")</f>
        <v/>
      </c>
      <c r="AC16">
        <f>HYPERLINK("https://klasma.github.io/Logging_2104/tillsynsmail/A 3870-2026 tillsynsbegäran mail.docx", "A 3870-2026")</f>
        <v/>
      </c>
    </row>
    <row r="17" ht="15" customHeight="1">
      <c r="A17" t="inlineStr">
        <is>
          <t>A 27436-2025</t>
        </is>
      </c>
      <c r="B17" t="inlineStr">
        <is>
          <t>avverkningsanmälan</t>
        </is>
      </c>
      <c r="C17" t="inlineStr">
        <is>
          <t>Föryngringsavverkning</t>
        </is>
      </c>
      <c r="D17" s="1" t="n">
        <v>45813</v>
      </c>
      <c r="E17" s="1" t="n">
        <v>46223</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s="2" t="inlineStr">
        <is>
          <t>Mattlummer
Revlummer</t>
        </is>
      </c>
      <c r="V17">
        <f>HYPERLINK("https://klasma.github.io/Logging_2104/artfynd/A 27436-2025 artfynd.xlsx", "A 27436-2025")</f>
        <v/>
      </c>
      <c r="W17">
        <f>HYPERLINK("https://klasma.github.io/Logging_2104/kartor/A 27436-2025 karta.png", "A 27436-2025")</f>
        <v/>
      </c>
      <c r="X17">
        <f>HYPERLINK("https://klasma.github.io/Logging_2104/kartor_geotiff/A 27436-2025 georefererad karta.tif", "A 27436-2025")</f>
        <v/>
      </c>
      <c r="Z17">
        <f>HYPERLINK("https://klasma.github.io/Logging_2104/klagomål/A 27436-2025 FSC-klagomål.docx", "A 27436-2025")</f>
        <v/>
      </c>
      <c r="AA17">
        <f>HYPERLINK("https://klasma.github.io/Logging_2104/klagomålsmail/A 27436-2025 FSC-klagomål mail.docx", "A 27436-2025")</f>
        <v/>
      </c>
      <c r="AB17">
        <f>HYPERLINK("https://klasma.github.io/Logging_2104/tillsyn/A 27436-2025 tillsynsbegäran.docx", "A 27436-2025")</f>
        <v/>
      </c>
      <c r="AC17">
        <f>HYPERLINK("https://klasma.github.io/Logging_2104/tillsynsmail/A 27436-2025 tillsynsbegäran mail.docx", "A 27436-2025")</f>
        <v/>
      </c>
    </row>
    <row r="18" ht="15" customHeight="1">
      <c r="A18" t="inlineStr">
        <is>
          <t>A 40393-2025</t>
        </is>
      </c>
      <c r="B18" t="inlineStr">
        <is>
          <t>avverkningsanmälan</t>
        </is>
      </c>
      <c r="C18" t="inlineStr">
        <is>
          <t>Avverkning för att bevara och utveckla /försöksver</t>
        </is>
      </c>
      <c r="D18" s="1" t="n">
        <v>45895</v>
      </c>
      <c r="E18" s="1" t="n">
        <v>46223</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s="2" t="inlineStr">
        <is>
          <t>Svarta vinbär
Huggorm</t>
        </is>
      </c>
      <c r="V18">
        <f>HYPERLINK("https://klasma.github.io/Logging_2104/artfynd/A 40393-2025 artfynd.xlsx", "A 40393-2025")</f>
        <v/>
      </c>
      <c r="W18">
        <f>HYPERLINK("https://klasma.github.io/Logging_2104/kartor/A 40393-2025 karta.png", "A 40393-2025")</f>
        <v/>
      </c>
      <c r="X18">
        <f>HYPERLINK("https://klasma.github.io/Logging_2104/kartor_geotiff/A 40393-2025 georefererad karta.tif", "A 40393-2025")</f>
        <v/>
      </c>
      <c r="Z18">
        <f>HYPERLINK("https://klasma.github.io/Logging_2104/klagomål/A 40393-2025 FSC-klagomål.docx", "A 40393-2025")</f>
        <v/>
      </c>
      <c r="AA18">
        <f>HYPERLINK("https://klasma.github.io/Logging_2104/klagomålsmail/A 40393-2025 FSC-klagomål mail.docx", "A 40393-2025")</f>
        <v/>
      </c>
      <c r="AB18">
        <f>HYPERLINK("https://klasma.github.io/Logging_2104/tillsyn/A 40393-2025 tillsynsbegäran.docx", "A 40393-2025")</f>
        <v/>
      </c>
      <c r="AC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46223</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s="2" t="inlineStr">
        <is>
          <t>Svarta vinbär
Gullviva</t>
        </is>
      </c>
      <c r="V19">
        <f>HYPERLINK("https://klasma.github.io/Logging_2104/artfynd/A 40401-2025 artfynd.xlsx", "A 40401-2025")</f>
        <v/>
      </c>
      <c r="W19">
        <f>HYPERLINK("https://klasma.github.io/Logging_2104/kartor/A 40401-2025 karta.png", "A 40401-2025")</f>
        <v/>
      </c>
      <c r="X19">
        <f>HYPERLINK("https://klasma.github.io/Logging_2104/kartor_geotiff/A 40401-2025 georefererad karta.tif", "A 40401-2025")</f>
        <v/>
      </c>
      <c r="Z19">
        <f>HYPERLINK("https://klasma.github.io/Logging_2104/klagomål/A 40401-2025 FSC-klagomål.docx", "A 40401-2025")</f>
        <v/>
      </c>
      <c r="AA19">
        <f>HYPERLINK("https://klasma.github.io/Logging_2104/klagomålsmail/A 40401-2025 FSC-klagomål mail.docx", "A 40401-2025")</f>
        <v/>
      </c>
      <c r="AB19">
        <f>HYPERLINK("https://klasma.github.io/Logging_2104/tillsyn/A 40401-2025 tillsynsbegäran.docx", "A 40401-2025")</f>
        <v/>
      </c>
      <c r="AC19">
        <f>HYPERLINK("https://klasma.github.io/Logging_2104/tillsynsmail/A 40401-2025 tillsynsbegäran mail.docx", "A 40401-2025")</f>
        <v/>
      </c>
    </row>
    <row r="20" ht="15" customHeight="1">
      <c r="A20" t="inlineStr">
        <is>
          <t>A 37011-2025</t>
        </is>
      </c>
      <c r="B20" t="inlineStr">
        <is>
          <t>avverkningsanmälan</t>
        </is>
      </c>
      <c r="C20" t="inlineStr">
        <is>
          <t>Föryngringsavverkning</t>
        </is>
      </c>
      <c r="D20" s="1" t="n">
        <v>45874</v>
      </c>
      <c r="E20" s="1" t="n">
        <v>46223</v>
      </c>
      <c r="F20" t="inlineStr">
        <is>
          <t>GÄVLEBORGS LÄN</t>
        </is>
      </c>
      <c r="G20" t="inlineStr">
        <is>
          <t>HOFORS</t>
        </is>
      </c>
      <c r="H20" t="inlineStr">
        <is>
          <t>Sveaskog</t>
        </is>
      </c>
      <c r="I20" t="n">
        <v>3</v>
      </c>
      <c r="J20" t="n">
        <v>1</v>
      </c>
      <c r="K20" t="n">
        <v>0</v>
      </c>
      <c r="L20" t="n">
        <v>1</v>
      </c>
      <c r="M20" t="n">
        <v>1</v>
      </c>
      <c r="N20" t="n">
        <v>0</v>
      </c>
      <c r="O20" t="n">
        <v>0</v>
      </c>
      <c r="P20" t="n">
        <v>0</v>
      </c>
      <c r="Q20" t="n">
        <v>2</v>
      </c>
      <c r="R20" t="n">
        <v>1</v>
      </c>
      <c r="S20" t="n">
        <v>2</v>
      </c>
      <c r="T20" t="n">
        <v>5</v>
      </c>
      <c r="U20" s="2" t="inlineStr">
        <is>
          <t>Knärot
Dropptaggsvamp</t>
        </is>
      </c>
      <c r="V20">
        <f>HYPERLINK("https://klasma.github.io/Logging_2104/artfynd/A 37011-2025 artfynd.xlsx", "A 37011-2025")</f>
        <v/>
      </c>
      <c r="W20">
        <f>HYPERLINK("https://klasma.github.io/Logging_2104/kartor/A 37011-2025 karta.png", "A 37011-2025")</f>
        <v/>
      </c>
      <c r="X20">
        <f>HYPERLINK("https://klasma.github.io/Logging_2104/kartor_geotiff/A 37011-2025 georefererad karta.tif", "A 37011-2025")</f>
        <v/>
      </c>
      <c r="Y20">
        <f>HYPERLINK("https://klasma.github.io/Logging_2104/knärot/A 37011-2025 karta knärot.png", "A 37011-2025")</f>
        <v/>
      </c>
      <c r="Z20">
        <f>HYPERLINK("https://klasma.github.io/Logging_2104/klagomål/A 37011-2025 FSC-klagomål.docx", "A 37011-2025")</f>
        <v/>
      </c>
      <c r="AA20">
        <f>HYPERLINK("https://klasma.github.io/Logging_2104/klagomålsmail/A 37011-2025 FSC-klagomål mail.docx", "A 37011-2025")</f>
        <v/>
      </c>
      <c r="AB20">
        <f>HYPERLINK("https://klasma.github.io/Logging_2104/tillsyn/A 37011-2025 tillsynsbegäran.docx", "A 37011-2025")</f>
        <v/>
      </c>
      <c r="AC20">
        <f>HYPERLINK("https://klasma.github.io/Logging_2104/tillsynsmail/A 37011-2025 tillsynsbegäran mail.docx", "A 37011-2025")</f>
        <v/>
      </c>
    </row>
    <row r="21" ht="15" customHeight="1">
      <c r="A21" t="inlineStr">
        <is>
          <t>A 13579-2026</t>
        </is>
      </c>
      <c r="B21" t="inlineStr">
        <is>
          <t>avverkningsanmälan</t>
        </is>
      </c>
      <c r="C21" t="inlineStr">
        <is>
          <t>Föryngringsavverkning</t>
        </is>
      </c>
      <c r="D21" s="1" t="n">
        <v>46095</v>
      </c>
      <c r="E21" s="1" t="n">
        <v>46223</v>
      </c>
      <c r="F21" t="inlineStr">
        <is>
          <t>GÄVLEBORGS LÄN</t>
        </is>
      </c>
      <c r="G21" t="inlineStr">
        <is>
          <t>HOFORS</t>
        </is>
      </c>
      <c r="I21" t="n">
        <v>2</v>
      </c>
      <c r="J21" t="n">
        <v>1</v>
      </c>
      <c r="K21" t="n">
        <v>0</v>
      </c>
      <c r="L21" t="n">
        <v>1</v>
      </c>
      <c r="M21" t="n">
        <v>0</v>
      </c>
      <c r="N21" t="n">
        <v>0</v>
      </c>
      <c r="O21" t="n">
        <v>0</v>
      </c>
      <c r="P21" t="n">
        <v>0</v>
      </c>
      <c r="Q21" t="n">
        <v>1</v>
      </c>
      <c r="R21" t="n">
        <v>0</v>
      </c>
      <c r="S21" t="n">
        <v>2</v>
      </c>
      <c r="T21" t="n">
        <v>2</v>
      </c>
      <c r="U21" s="2" t="inlineStr">
        <is>
          <t>Gullpudra
Blåsippa</t>
        </is>
      </c>
      <c r="V21">
        <f>HYPERLINK("https://klasma.github.io/Logging_2104/artfynd/A 13579-2026 artfynd.xlsx", "A 13579-2026")</f>
        <v/>
      </c>
      <c r="W21">
        <f>HYPERLINK("https://klasma.github.io/Logging_2104/kartor/A 13579-2026 karta.png", "A 13579-2026")</f>
        <v/>
      </c>
      <c r="X21">
        <f>HYPERLINK("https://klasma.github.io/Logging_2104/kartor_geotiff/A 13579-2026 georefererad karta.tif", "A 13579-2026")</f>
        <v/>
      </c>
      <c r="Z21">
        <f>HYPERLINK("https://klasma.github.io/Logging_2104/klagomål/A 13579-2026 FSC-klagomål.docx", "A 13579-2026")</f>
        <v/>
      </c>
      <c r="AA21">
        <f>HYPERLINK("https://klasma.github.io/Logging_2104/klagomålsmail/A 13579-2026 FSC-klagomål mail.docx", "A 13579-2026")</f>
        <v/>
      </c>
      <c r="AB21">
        <f>HYPERLINK("https://klasma.github.io/Logging_2104/tillsyn/A 13579-2026 tillsynsbegäran.docx", "A 13579-2026")</f>
        <v/>
      </c>
      <c r="AC21">
        <f>HYPERLINK("https://klasma.github.io/Logging_2104/tillsynsmail/A 13579-2026 tillsynsbegäran mail.docx", "A 13579-2026")</f>
        <v/>
      </c>
    </row>
    <row r="22" ht="15" customHeight="1">
      <c r="A22" t="inlineStr">
        <is>
          <t>A 186-2026</t>
        </is>
      </c>
      <c r="B22" t="inlineStr">
        <is>
          <t>avverkningsanmälan</t>
        </is>
      </c>
      <c r="C22" t="inlineStr">
        <is>
          <t>Föryngringsavverkning</t>
        </is>
      </c>
      <c r="D22" s="1" t="n">
        <v>46025</v>
      </c>
      <c r="E22" s="1" t="n">
        <v>46223</v>
      </c>
      <c r="F22" t="inlineStr">
        <is>
          <t>GÄVLEBORGS LÄN</t>
        </is>
      </c>
      <c r="G22" t="inlineStr">
        <is>
          <t>HOFORS</t>
        </is>
      </c>
      <c r="I22" t="n">
        <v>6.7</v>
      </c>
      <c r="J22" t="n">
        <v>1</v>
      </c>
      <c r="K22" t="n">
        <v>0</v>
      </c>
      <c r="L22" t="n">
        <v>0</v>
      </c>
      <c r="M22" t="n">
        <v>1</v>
      </c>
      <c r="N22" t="n">
        <v>0</v>
      </c>
      <c r="O22" t="n">
        <v>0</v>
      </c>
      <c r="P22" t="n">
        <v>0</v>
      </c>
      <c r="Q22" t="n">
        <v>1</v>
      </c>
      <c r="R22" t="n">
        <v>1</v>
      </c>
      <c r="S22" t="n">
        <v>2</v>
      </c>
      <c r="T22" t="n">
        <v>2</v>
      </c>
      <c r="U22" s="2" t="inlineStr">
        <is>
          <t>Knärot
Timmerticka</t>
        </is>
      </c>
      <c r="V22">
        <f>HYPERLINK("https://klasma.github.io/Logging_2104/artfynd/A 186-2026 artfynd.xlsx", "A 186-2026")</f>
        <v/>
      </c>
      <c r="W22">
        <f>HYPERLINK("https://klasma.github.io/Logging_2104/kartor/A 186-2026 karta.png", "A 186-2026")</f>
        <v/>
      </c>
      <c r="X22">
        <f>HYPERLINK("https://klasma.github.io/Logging_2104/kartor_geotiff/A 186-2026 georefererad karta.tif", "A 186-2026")</f>
        <v/>
      </c>
      <c r="Y22">
        <f>HYPERLINK("https://klasma.github.io/Logging_2104/knärot/A 186-2026 karta knärot.png", "A 186-2026")</f>
        <v/>
      </c>
      <c r="Z22">
        <f>HYPERLINK("https://klasma.github.io/Logging_2104/klagomål/A 186-2026 FSC-klagomål.docx", "A 186-2026")</f>
        <v/>
      </c>
      <c r="AA22">
        <f>HYPERLINK("https://klasma.github.io/Logging_2104/klagomålsmail/A 186-2026 FSC-klagomål mail.docx", "A 186-2026")</f>
        <v/>
      </c>
      <c r="AB22">
        <f>HYPERLINK("https://klasma.github.io/Logging_2104/tillsyn/A 186-2026 tillsynsbegäran.docx", "A 186-2026")</f>
        <v/>
      </c>
      <c r="AC22">
        <f>HYPERLINK("https://klasma.github.io/Logging_2104/tillsynsmail/A 186-2026 tillsynsbegäran mail.docx", "A 186-2026")</f>
        <v/>
      </c>
    </row>
    <row r="23" ht="15" customHeight="1">
      <c r="A23" t="inlineStr">
        <is>
          <t>A 22288-2026</t>
        </is>
      </c>
      <c r="B23" t="inlineStr">
        <is>
          <t>avverkningsanmälan</t>
        </is>
      </c>
      <c r="C23" t="inlineStr">
        <is>
          <t>Föryngringsavverkning</t>
        </is>
      </c>
      <c r="D23" s="1" t="n">
        <v>46154</v>
      </c>
      <c r="E23" s="1" t="n">
        <v>46223</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s="2" t="inlineStr">
        <is>
          <t>Knärot
Mindre märgborre</t>
        </is>
      </c>
      <c r="V23">
        <f>HYPERLINK("https://klasma.github.io/Logging_2104/artfynd/A 22288-2026 artfynd.xlsx", "A 22288-2026")</f>
        <v/>
      </c>
      <c r="W23">
        <f>HYPERLINK("https://klasma.github.io/Logging_2104/kartor/A 22288-2026 karta.png", "A 22288-2026")</f>
        <v/>
      </c>
      <c r="X23">
        <f>HYPERLINK("https://klasma.github.io/Logging_2104/kartor_geotiff/A 22288-2026 georefererad karta.tif", "A 22288-2026")</f>
        <v/>
      </c>
      <c r="Y23">
        <f>HYPERLINK("https://klasma.github.io/Logging_2104/knärot/A 22288-2026 karta knärot.png", "A 22288-2026")</f>
        <v/>
      </c>
      <c r="Z23">
        <f>HYPERLINK("https://klasma.github.io/Logging_2104/klagomål/A 22288-2026 FSC-klagomål.docx", "A 22288-2026")</f>
        <v/>
      </c>
      <c r="AA23">
        <f>HYPERLINK("https://klasma.github.io/Logging_2104/klagomålsmail/A 22288-2026 FSC-klagomål mail.docx", "A 22288-2026")</f>
        <v/>
      </c>
      <c r="AB23">
        <f>HYPERLINK("https://klasma.github.io/Logging_2104/tillsyn/A 22288-2026 tillsynsbegäran.docx", "A 22288-2026")</f>
        <v/>
      </c>
      <c r="AC23">
        <f>HYPERLINK("https://klasma.github.io/Logging_2104/tillsynsmail/A 22288-2026 tillsynsbegäran mail.docx", "A 22288-2026")</f>
        <v/>
      </c>
    </row>
    <row r="24" ht="15" customHeight="1">
      <c r="A24" t="inlineStr">
        <is>
          <t>A 29062-2026</t>
        </is>
      </c>
      <c r="B24" t="inlineStr">
        <is>
          <t>avverkningsanmälan</t>
        </is>
      </c>
      <c r="C24" t="inlineStr">
        <is>
          <t>Föryngringsavverkning</t>
        </is>
      </c>
      <c r="D24" s="1" t="n">
        <v>46199</v>
      </c>
      <c r="E24" s="1" t="n">
        <v>46223</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s="2" t="inlineStr">
        <is>
          <t>Talltita
Tjäder</t>
        </is>
      </c>
      <c r="V24">
        <f>HYPERLINK("https://klasma.github.io/Logging_2104/artfynd/A 29062-2026 artfynd.xlsx", "A 29062-2026")</f>
        <v/>
      </c>
      <c r="W24">
        <f>HYPERLINK("https://klasma.github.io/Logging_2104/kartor/A 29062-2026 karta.png", "A 29062-2026")</f>
        <v/>
      </c>
      <c r="X24">
        <f>HYPERLINK("https://klasma.github.io/Logging_2104/kartor_geotiff/A 29062-2026 georefererad karta.tif", "A 29062-2026")</f>
        <v/>
      </c>
      <c r="Z24">
        <f>HYPERLINK("https://klasma.github.io/Logging_2104/klagomål/A 29062-2026 FSC-klagomål.docx", "A 29062-2026")</f>
        <v/>
      </c>
      <c r="AA24">
        <f>HYPERLINK("https://klasma.github.io/Logging_2104/klagomålsmail/A 29062-2026 FSC-klagomål mail.docx", "A 29062-2026")</f>
        <v/>
      </c>
      <c r="AB24">
        <f>HYPERLINK("https://klasma.github.io/Logging_2104/tillsyn/A 29062-2026 tillsynsbegäran.docx", "A 29062-2026")</f>
        <v/>
      </c>
      <c r="AC24">
        <f>HYPERLINK("https://klasma.github.io/Logging_2104/tillsynsmail/A 29062-2026 tillsynsbegäran mail.docx", "A 29062-2026")</f>
        <v/>
      </c>
      <c r="AD24">
        <f>HYPERLINK("https://klasma.github.io/Logging_2104/fåglar/A 29062-2026 prioriterade fågelarter.docx", "A 29062-2026")</f>
        <v/>
      </c>
    </row>
    <row r="25" ht="15" customHeight="1">
      <c r="A25" t="inlineStr">
        <is>
          <t>A 47483-2021</t>
        </is>
      </c>
      <c r="B25" t="inlineStr">
        <is>
          <t>avverkningsanmälan</t>
        </is>
      </c>
      <c r="C25" t="inlineStr">
        <is>
          <t>Föryngringsavverkning</t>
        </is>
      </c>
      <c r="D25" s="1" t="n">
        <v>44447</v>
      </c>
      <c r="E25" s="1" t="n">
        <v>46223</v>
      </c>
      <c r="F25" t="inlineStr">
        <is>
          <t>GÄVLEBORGS LÄN</t>
        </is>
      </c>
      <c r="G25" t="inlineStr">
        <is>
          <t>HOFORS</t>
        </is>
      </c>
      <c r="I25" t="n">
        <v>6.9</v>
      </c>
      <c r="J25" t="n">
        <v>1</v>
      </c>
      <c r="K25" t="n">
        <v>1</v>
      </c>
      <c r="L25" t="n">
        <v>0</v>
      </c>
      <c r="M25" t="n">
        <v>1</v>
      </c>
      <c r="N25" t="n">
        <v>0</v>
      </c>
      <c r="O25" t="n">
        <v>0</v>
      </c>
      <c r="P25" t="n">
        <v>0</v>
      </c>
      <c r="Q25" t="n">
        <v>1</v>
      </c>
      <c r="R25" t="n">
        <v>1</v>
      </c>
      <c r="S25" t="n">
        <v>2</v>
      </c>
      <c r="T25" t="n">
        <v>10</v>
      </c>
      <c r="U25" s="2" t="inlineStr">
        <is>
          <t>Knärot
Mindre märgborre</t>
        </is>
      </c>
      <c r="V25">
        <f>HYPERLINK("https://klasma.github.io/Logging_2104/artfynd/A 47483-2021 artfynd.xlsx", "A 47483-2021")</f>
        <v/>
      </c>
      <c r="W25">
        <f>HYPERLINK("https://klasma.github.io/Logging_2104/kartor/A 47483-2021 karta.png", "A 47483-2021")</f>
        <v/>
      </c>
      <c r="X25">
        <f>HYPERLINK("https://klasma.github.io/Logging_2104/kartor_geotiff/A 47483-2021 georefererad karta.tif", "A 47483-2021")</f>
        <v/>
      </c>
      <c r="Y25">
        <f>HYPERLINK("https://klasma.github.io/Logging_2104/knärot/A 47483-2021 karta knärot.png", "A 47483-2021")</f>
        <v/>
      </c>
      <c r="Z25">
        <f>HYPERLINK("https://klasma.github.io/Logging_2104/klagomål/A 47483-2021 FSC-klagomål.docx", "A 47483-2021")</f>
        <v/>
      </c>
      <c r="AA25">
        <f>HYPERLINK("https://klasma.github.io/Logging_2104/klagomålsmail/A 47483-2021 FSC-klagomål mail.docx", "A 47483-2021")</f>
        <v/>
      </c>
      <c r="AB25">
        <f>HYPERLINK("https://klasma.github.io/Logging_2104/tillsyn/A 47483-2021 tillsynsbegäran.docx", "A 47483-2021")</f>
        <v/>
      </c>
      <c r="AC25">
        <f>HYPERLINK("https://klasma.github.io/Logging_2104/tillsynsmail/A 47483-2021 tillsynsbegäran mail.docx", "A 47483-2021")</f>
        <v/>
      </c>
    </row>
    <row r="26" ht="15" customHeight="1">
      <c r="A26" t="inlineStr">
        <is>
          <t>A 48609-2025</t>
        </is>
      </c>
      <c r="B26" t="inlineStr">
        <is>
          <t>avverkningsanmälan</t>
        </is>
      </c>
      <c r="C26" t="inlineStr">
        <is>
          <t>Föryngringsavverkning</t>
        </is>
      </c>
      <c r="D26" s="1" t="n">
        <v>45935</v>
      </c>
      <c r="E26" s="1" t="n">
        <v>46223</v>
      </c>
      <c r="F26" t="inlineStr">
        <is>
          <t>GÄVLEBORGS LÄN</t>
        </is>
      </c>
      <c r="G26" t="inlineStr">
        <is>
          <t>HOFORS</t>
        </is>
      </c>
      <c r="H26" t="inlineStr">
        <is>
          <t>Bergvik skog väst AB</t>
        </is>
      </c>
      <c r="I26" t="n">
        <v>5.1</v>
      </c>
      <c r="J26" t="n">
        <v>0</v>
      </c>
      <c r="K26" t="n">
        <v>0</v>
      </c>
      <c r="L26" t="n">
        <v>2</v>
      </c>
      <c r="M26" t="n">
        <v>0</v>
      </c>
      <c r="N26" t="n">
        <v>0</v>
      </c>
      <c r="O26" t="n">
        <v>0</v>
      </c>
      <c r="P26" t="n">
        <v>0</v>
      </c>
      <c r="Q26" t="n">
        <v>2</v>
      </c>
      <c r="R26" t="n">
        <v>0</v>
      </c>
      <c r="S26" t="n">
        <v>2</v>
      </c>
      <c r="T26" t="n">
        <v>2</v>
      </c>
      <c r="U26" s="2" t="inlineStr">
        <is>
          <t>Fagervaxing
Scharlakansvaxing</t>
        </is>
      </c>
      <c r="V26">
        <f>HYPERLINK("https://klasma.github.io/Logging_2104/artfynd/A 48609-2025 artfynd.xlsx", "A 48609-2025")</f>
        <v/>
      </c>
      <c r="W26">
        <f>HYPERLINK("https://klasma.github.io/Logging_2104/kartor/A 48609-2025 karta.png", "A 48609-2025")</f>
        <v/>
      </c>
      <c r="X26">
        <f>HYPERLINK("https://klasma.github.io/Logging_2104/kartor_geotiff/A 48609-2025 georefererad karta.tif", "A 48609-2025")</f>
        <v/>
      </c>
      <c r="Z26">
        <f>HYPERLINK("https://klasma.github.io/Logging_2104/klagomål/A 48609-2025 FSC-klagomål.docx", "A 48609-2025")</f>
        <v/>
      </c>
      <c r="AA26">
        <f>HYPERLINK("https://klasma.github.io/Logging_2104/klagomålsmail/A 48609-2025 FSC-klagomål mail.docx", "A 48609-2025")</f>
        <v/>
      </c>
      <c r="AB26">
        <f>HYPERLINK("https://klasma.github.io/Logging_2104/tillsyn/A 48609-2025 tillsynsbegäran.docx", "A 48609-2025")</f>
        <v/>
      </c>
      <c r="AC26">
        <f>HYPERLINK("https://klasma.github.io/Logging_2104/tillsynsmail/A 48609-2025 tillsynsbegäran mail.docx", "A 48609-2025")</f>
        <v/>
      </c>
    </row>
    <row r="27" ht="15" customHeight="1">
      <c r="A27" t="inlineStr">
        <is>
          <t>A 25511-2026</t>
        </is>
      </c>
      <c r="B27" t="inlineStr">
        <is>
          <t>avverkningsanmälan</t>
        </is>
      </c>
      <c r="C27" t="inlineStr">
        <is>
          <t>Föryngringsavverkning</t>
        </is>
      </c>
      <c r="D27" s="1" t="n">
        <v>46177</v>
      </c>
      <c r="E27" s="1" t="n">
        <v>46223</v>
      </c>
      <c r="F27" t="inlineStr">
        <is>
          <t>GÄVLEBORGS LÄN</t>
        </is>
      </c>
      <c r="G27" t="inlineStr">
        <is>
          <t>HOFORS</t>
        </is>
      </c>
      <c r="H27" t="inlineStr">
        <is>
          <t>Sveaskog</t>
        </is>
      </c>
      <c r="I27" t="n">
        <v>6.4</v>
      </c>
      <c r="J27" t="n">
        <v>2</v>
      </c>
      <c r="K27" t="n">
        <v>1</v>
      </c>
      <c r="L27" t="n">
        <v>0</v>
      </c>
      <c r="M27" t="n">
        <v>0</v>
      </c>
      <c r="N27" t="n">
        <v>0</v>
      </c>
      <c r="O27" t="n">
        <v>0</v>
      </c>
      <c r="P27" t="n">
        <v>0</v>
      </c>
      <c r="Q27" t="n">
        <v>0</v>
      </c>
      <c r="R27" t="n">
        <v>0</v>
      </c>
      <c r="S27" t="n">
        <v>2</v>
      </c>
      <c r="T27" t="n">
        <v>5</v>
      </c>
      <c r="U27" s="2" t="inlineStr">
        <is>
          <t>Tvåblad
Nattviol</t>
        </is>
      </c>
      <c r="V27">
        <f>HYPERLINK("https://klasma.github.io/Logging_2104/artfynd/A 25511-2026 artfynd.xlsx", "A 25511-2026")</f>
        <v/>
      </c>
      <c r="W27">
        <f>HYPERLINK("https://klasma.github.io/Logging_2104/kartor/A 25511-2026 karta.png", "A 25511-2026")</f>
        <v/>
      </c>
      <c r="X27">
        <f>HYPERLINK("https://klasma.github.io/Logging_2104/kartor_geotiff/A 25511-2026 georefererad karta.tif", "A 25511-2026")</f>
        <v/>
      </c>
      <c r="Z27">
        <f>HYPERLINK("https://klasma.github.io/Logging_2104/klagomål/A 25511-2026 FSC-klagomål.docx", "A 25511-2026")</f>
        <v/>
      </c>
      <c r="AA27">
        <f>HYPERLINK("https://klasma.github.io/Logging_2104/klagomålsmail/A 25511-2026 FSC-klagomål mail.docx", "A 25511-2026")</f>
        <v/>
      </c>
      <c r="AB27">
        <f>HYPERLINK("https://klasma.github.io/Logging_2104/tillsyn/A 25511-2026 tillsynsbegäran.docx", "A 25511-2026")</f>
        <v/>
      </c>
      <c r="AC27">
        <f>HYPERLINK("https://klasma.github.io/Logging_2104/tillsynsmail/A 25511-2026 tillsynsbegäran mail.docx", "A 25511-2026")</f>
        <v/>
      </c>
    </row>
    <row r="28" ht="15" customHeight="1">
      <c r="A28" t="inlineStr">
        <is>
          <t>S 2081-2020</t>
        </is>
      </c>
      <c r="B28" t="inlineStr">
        <is>
          <t>samrådsanmälan</t>
        </is>
      </c>
      <c r="C28" t="inlineStr">
        <is>
          <t>Askåterföring</t>
        </is>
      </c>
      <c r="D28" s="1" t="n">
        <v>44102</v>
      </c>
      <c r="E28" s="1" t="n">
        <v>46223</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s="2" t="inlineStr">
        <is>
          <t>Skogsknipprot
Fläcknycklar</t>
        </is>
      </c>
      <c r="V28">
        <f>HYPERLINK("https://klasma.github.io/Logging_2104/artfynd/S 2081-2020 artfynd.xlsx", "S 2081-2020")</f>
        <v/>
      </c>
      <c r="W28">
        <f>HYPERLINK("https://klasma.github.io/Logging_2104/kartor/S 2081-2020 karta.png", "S 2081-2020")</f>
        <v/>
      </c>
      <c r="X28">
        <f>HYPERLINK("https://klasma.github.io/Logging_2104/kartor_geotiff/S 2081-2020 georefererad karta.tif", "S 2081-2020")</f>
        <v/>
      </c>
      <c r="Z28">
        <f>HYPERLINK("https://klasma.github.io/Logging_2104/klagomål/S 2081-2020 FSC-klagomål.docx", "S 2081-2020")</f>
        <v/>
      </c>
      <c r="AA28">
        <f>HYPERLINK("https://klasma.github.io/Logging_2104/klagomålsmail/S 2081-2020 FSC-klagomål mail.docx", "S 2081-2020")</f>
        <v/>
      </c>
      <c r="AB28">
        <f>HYPERLINK("https://klasma.github.io/Logging_2104/tillsyn/S 2081-2020 tillsynsbegäran.docx", "S 2081-2020")</f>
        <v/>
      </c>
      <c r="AC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46223</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s="2" t="inlineStr">
        <is>
          <t>Strutbräken
Blåsippa</t>
        </is>
      </c>
      <c r="V29">
        <f>HYPERLINK("https://klasma.github.io/Logging_2104/artfynd/S 2606-2020 artfynd.xlsx", "S 2606-2020")</f>
        <v/>
      </c>
      <c r="W29">
        <f>HYPERLINK("https://klasma.github.io/Logging_2104/kartor/S 2606-2020 karta.png", "S 2606-2020")</f>
        <v/>
      </c>
      <c r="X29">
        <f>HYPERLINK("https://klasma.github.io/Logging_2104/kartor_geotiff/S 2606-2020 georefererad karta.tif", "S 2606-2020")</f>
        <v/>
      </c>
      <c r="Z29">
        <f>HYPERLINK("https://klasma.github.io/Logging_2104/klagomål/S 2606-2020 FSC-klagomål.docx", "S 2606-2020")</f>
        <v/>
      </c>
      <c r="AA29">
        <f>HYPERLINK("https://klasma.github.io/Logging_2104/klagomålsmail/S 2606-2020 FSC-klagomål mail.docx", "S 2606-2020")</f>
        <v/>
      </c>
      <c r="AB29">
        <f>HYPERLINK("https://klasma.github.io/Logging_2104/tillsyn/S 2606-2020 tillsynsbegäran.docx", "S 2606-2020")</f>
        <v/>
      </c>
      <c r="AC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46223</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s="2" t="inlineStr">
        <is>
          <t>Mosippa
Grönsiska</t>
        </is>
      </c>
      <c r="V30">
        <f>HYPERLINK("https://klasma.github.io/Logging_2104/artfynd/S 412-2022 artfynd.xlsx", "S 412-2022")</f>
        <v/>
      </c>
      <c r="W30">
        <f>HYPERLINK("https://klasma.github.io/Logging_2104/kartor/S 412-2022 karta.png", "S 412-2022")</f>
        <v/>
      </c>
      <c r="X30">
        <f>HYPERLINK("https://klasma.github.io/Logging_2104/kartor_geotiff/S 412-2022 georefererad karta.tif", "S 412-2022")</f>
        <v/>
      </c>
      <c r="Z30">
        <f>HYPERLINK("https://klasma.github.io/Logging_2104/klagomål/S 412-2022 FSC-klagomål.docx", "S 412-2022")</f>
        <v/>
      </c>
      <c r="AA30">
        <f>HYPERLINK("https://klasma.github.io/Logging_2104/klagomålsmail/S 412-2022 FSC-klagomål mail.docx", "S 412-2022")</f>
        <v/>
      </c>
      <c r="AB30">
        <f>HYPERLINK("https://klasma.github.io/Logging_2104/tillsyn/S 412-2022 tillsynsbegäran.docx", "S 412-2022")</f>
        <v/>
      </c>
      <c r="AC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46223</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s="2" t="inlineStr">
        <is>
          <t>Brun gräsfjäril
Väddnätfjäril</t>
        </is>
      </c>
      <c r="V31">
        <f>HYPERLINK("https://klasma.github.io/Logging_2104/artfynd/S 228-2024 artfynd.xlsx", "S 228-2024")</f>
        <v/>
      </c>
      <c r="W31">
        <f>HYPERLINK("https://klasma.github.io/Logging_2104/kartor/S 228-2024 karta.png", "S 228-2024")</f>
        <v/>
      </c>
      <c r="X31">
        <f>HYPERLINK("https://klasma.github.io/Logging_2104/kartor_geotiff/S 228-2024 georefererad karta.tif", "S 228-2024")</f>
        <v/>
      </c>
      <c r="Z31">
        <f>HYPERLINK("https://klasma.github.io/Logging_2104/klagomål/S 228-2024 FSC-klagomål.docx", "S 228-2024")</f>
        <v/>
      </c>
      <c r="AA31">
        <f>HYPERLINK("https://klasma.github.io/Logging_2104/klagomålsmail/S 228-2024 FSC-klagomål mail.docx", "S 228-2024")</f>
        <v/>
      </c>
      <c r="AB31">
        <f>HYPERLINK("https://klasma.github.io/Logging_2104/tillsyn/S 228-2024 tillsynsbegäran.docx", "S 228-2024")</f>
        <v/>
      </c>
      <c r="AC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46223</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s="2" t="inlineStr">
        <is>
          <t>Månlåsbräken
Nattviol</t>
        </is>
      </c>
      <c r="V32">
        <f>HYPERLINK("https://klasma.github.io/Logging_2104/artfynd/S 446-2025 artfynd.xlsx", "S 446-2025")</f>
        <v/>
      </c>
      <c r="W32">
        <f>HYPERLINK("https://klasma.github.io/Logging_2104/kartor/S 446-2025 karta.png", "S 446-2025")</f>
        <v/>
      </c>
      <c r="X32">
        <f>HYPERLINK("https://klasma.github.io/Logging_2104/kartor_geotiff/S 446-2025 georefererad karta.tif", "S 446-2025")</f>
        <v/>
      </c>
      <c r="Z32">
        <f>HYPERLINK("https://klasma.github.io/Logging_2104/klagomål/S 446-2025 FSC-klagomål.docx", "S 446-2025")</f>
        <v/>
      </c>
      <c r="AA32">
        <f>HYPERLINK("https://klasma.github.io/Logging_2104/klagomålsmail/S 446-2025 FSC-klagomål mail.docx", "S 446-2025")</f>
        <v/>
      </c>
      <c r="AB32">
        <f>HYPERLINK("https://klasma.github.io/Logging_2104/tillsyn/S 446-2025 tillsynsbegäran.docx", "S 446-2025")</f>
        <v/>
      </c>
      <c r="AC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46223</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s="2" t="inlineStr">
        <is>
          <t>Svarta vinbär
Huggorm</t>
        </is>
      </c>
      <c r="V33">
        <f>HYPERLINK("https://klasma.github.io/Logging_2104/artfynd/S 2400-2025 artfynd.xlsx", "S 2400-2025")</f>
        <v/>
      </c>
      <c r="W33">
        <f>HYPERLINK("https://klasma.github.io/Logging_2104/kartor/S 2400-2025 karta.png", "S 2400-2025")</f>
        <v/>
      </c>
      <c r="X33">
        <f>HYPERLINK("https://klasma.github.io/Logging_2104/kartor_geotiff/S 2400-2025 georefererad karta.tif", "S 2400-2025")</f>
        <v/>
      </c>
      <c r="Z33">
        <f>HYPERLINK("https://klasma.github.io/Logging_2104/klagomål/S 2400-2025 FSC-klagomål.docx", "S 2400-2025")</f>
        <v/>
      </c>
      <c r="AA33">
        <f>HYPERLINK("https://klasma.github.io/Logging_2104/klagomålsmail/S 2400-2025 FSC-klagomål mail.docx", "S 2400-2025")</f>
        <v/>
      </c>
      <c r="AB33">
        <f>HYPERLINK("https://klasma.github.io/Logging_2104/tillsyn/S 2400-2025 tillsynsbegäran.docx", "S 2400-2025")</f>
        <v/>
      </c>
      <c r="AC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46223</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s="2" t="inlineStr">
        <is>
          <t>Svarta vinbär
Gullviva</t>
        </is>
      </c>
      <c r="V34">
        <f>HYPERLINK("https://klasma.github.io/Logging_2104/artfynd/S 2402-2025 artfynd.xlsx", "S 2402-2025")</f>
        <v/>
      </c>
      <c r="W34">
        <f>HYPERLINK("https://klasma.github.io/Logging_2104/kartor/S 2402-2025 karta.png", "S 2402-2025")</f>
        <v/>
      </c>
      <c r="X34">
        <f>HYPERLINK("https://klasma.github.io/Logging_2104/kartor_geotiff/S 2402-2025 georefererad karta.tif", "S 2402-2025")</f>
        <v/>
      </c>
      <c r="Z34">
        <f>HYPERLINK("https://klasma.github.io/Logging_2104/klagomål/S 2402-2025 FSC-klagomål.docx", "S 2402-2025")</f>
        <v/>
      </c>
      <c r="AA34">
        <f>HYPERLINK("https://klasma.github.io/Logging_2104/klagomålsmail/S 2402-2025 FSC-klagomål mail.docx", "S 2402-2025")</f>
        <v/>
      </c>
      <c r="AB34">
        <f>HYPERLINK("https://klasma.github.io/Logging_2104/tillsyn/S 2402-2025 tillsynsbegäran.docx", "S 2402-2025")</f>
        <v/>
      </c>
      <c r="AC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46223</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s="2" t="inlineStr">
        <is>
          <t>Brunklöver
Nordfladdermus</t>
        </is>
      </c>
      <c r="V35">
        <f>HYPERLINK("https://klasma.github.io/Logging_2104/artfynd/S 1254-2026 artfynd.xlsx", "S 1254-2026")</f>
        <v/>
      </c>
      <c r="W35">
        <f>HYPERLINK("https://klasma.github.io/Logging_2104/kartor/S 1254-2026 karta.png", "S 1254-2026")</f>
        <v/>
      </c>
      <c r="X35">
        <f>HYPERLINK("https://klasma.github.io/Logging_2104/kartor_geotiff/S 1254-2026 georefererad karta.tif", "S 1254-2026")</f>
        <v/>
      </c>
      <c r="Z35">
        <f>HYPERLINK("https://klasma.github.io/Logging_2104/klagomål/S 1254-2026 FSC-klagomål.docx", "S 1254-2026")</f>
        <v/>
      </c>
      <c r="AA35">
        <f>HYPERLINK("https://klasma.github.io/Logging_2104/klagomålsmail/S 1254-2026 FSC-klagomål mail.docx", "S 1254-2026")</f>
        <v/>
      </c>
      <c r="AB35">
        <f>HYPERLINK("https://klasma.github.io/Logging_2104/tillsyn/S 1254-2026 tillsynsbegäran.docx", "S 1254-2026")</f>
        <v/>
      </c>
      <c r="AC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46223</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s="2" t="inlineStr">
        <is>
          <t>Mattlummer
Revlummer</t>
        </is>
      </c>
      <c r="V36">
        <f>HYPERLINK("https://klasma.github.io/Logging_2104/artfynd/S 1035-2026 artfynd.xlsx", "S 1035-2026")</f>
        <v/>
      </c>
      <c r="W36">
        <f>HYPERLINK("https://klasma.github.io/Logging_2104/kartor/S 1035-2026 karta.png", "S 1035-2026")</f>
        <v/>
      </c>
      <c r="X36">
        <f>HYPERLINK("https://klasma.github.io/Logging_2104/kartor_geotiff/S 1035-2026 georefererad karta.tif", "S 1035-2026")</f>
        <v/>
      </c>
      <c r="Z36">
        <f>HYPERLINK("https://klasma.github.io/Logging_2104/klagomål/S 1035-2026 FSC-klagomål.docx", "S 1035-2026")</f>
        <v/>
      </c>
      <c r="AA36">
        <f>HYPERLINK("https://klasma.github.io/Logging_2104/klagomålsmail/S 1035-2026 FSC-klagomål mail.docx", "S 1035-2026")</f>
        <v/>
      </c>
      <c r="AB36">
        <f>HYPERLINK("https://klasma.github.io/Logging_2104/tillsyn/S 1035-2026 tillsynsbegäran.docx", "S 1035-2026")</f>
        <v/>
      </c>
      <c r="AC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46223</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s="2" t="inlineStr">
        <is>
          <t>Vanlig groda</t>
        </is>
      </c>
      <c r="V37">
        <f>HYPERLINK("https://klasma.github.io/Logging_2104/artfynd/A 13807-2022 artfynd.xlsx", "A 13807-2022")</f>
        <v/>
      </c>
      <c r="W37">
        <f>HYPERLINK("https://klasma.github.io/Logging_2104/kartor/A 13807-2022 karta.png", "A 13807-2022")</f>
        <v/>
      </c>
      <c r="X37">
        <f>HYPERLINK("https://klasma.github.io/Logging_2104/kartor_geotiff/A 13807-2022 georefererad karta.tif", "A 13807-2022")</f>
        <v/>
      </c>
      <c r="Z37">
        <f>HYPERLINK("https://klasma.github.io/Logging_2104/klagomål/A 13807-2022 FSC-klagomål.docx", "A 13807-2022")</f>
        <v/>
      </c>
      <c r="AA37">
        <f>HYPERLINK("https://klasma.github.io/Logging_2104/klagomålsmail/A 13807-2022 FSC-klagomål mail.docx", "A 13807-2022")</f>
        <v/>
      </c>
      <c r="AB37">
        <f>HYPERLINK("https://klasma.github.io/Logging_2104/tillsyn/A 13807-2022 tillsynsbegäran.docx", "A 13807-2022")</f>
        <v/>
      </c>
      <c r="AC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46223</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s="2" t="inlineStr">
        <is>
          <t>Bågpraktmossa</t>
        </is>
      </c>
      <c r="V38">
        <f>HYPERLINK("https://klasma.github.io/Logging_2104/artfynd/A 64604-2021 artfynd.xlsx", "A 64604-2021")</f>
        <v/>
      </c>
      <c r="W38">
        <f>HYPERLINK("https://klasma.github.io/Logging_2104/kartor/A 64604-2021 karta.png", "A 64604-2021")</f>
        <v/>
      </c>
      <c r="X38">
        <f>HYPERLINK("https://klasma.github.io/Logging_2104/kartor_geotiff/A 64604-2021 georefererad karta.tif", "A 64604-2021")</f>
        <v/>
      </c>
      <c r="Z38">
        <f>HYPERLINK("https://klasma.github.io/Logging_2104/klagomål/A 64604-2021 FSC-klagomål.docx", "A 64604-2021")</f>
        <v/>
      </c>
      <c r="AA38">
        <f>HYPERLINK("https://klasma.github.io/Logging_2104/klagomålsmail/A 64604-2021 FSC-klagomål mail.docx", "A 64604-2021")</f>
        <v/>
      </c>
      <c r="AB38">
        <f>HYPERLINK("https://klasma.github.io/Logging_2104/tillsyn/A 64604-2021 tillsynsbegäran.docx", "A 64604-2021")</f>
        <v/>
      </c>
      <c r="AC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46223</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s="2" t="inlineStr">
        <is>
          <t>Brunklöver</t>
        </is>
      </c>
      <c r="V39">
        <f>HYPERLINK("https://klasma.github.io/Logging_2104/artfynd/A 74349-2021 artfynd.xlsx", "A 74349-2021")</f>
        <v/>
      </c>
      <c r="W39">
        <f>HYPERLINK("https://klasma.github.io/Logging_2104/kartor/A 74349-2021 karta.png", "A 74349-2021")</f>
        <v/>
      </c>
      <c r="X39">
        <f>HYPERLINK("https://klasma.github.io/Logging_2104/kartor_geotiff/A 74349-2021 georefererad karta.tif", "A 74349-2021")</f>
        <v/>
      </c>
      <c r="Z39">
        <f>HYPERLINK("https://klasma.github.io/Logging_2104/klagomål/A 74349-2021 FSC-klagomål.docx", "A 74349-2021")</f>
        <v/>
      </c>
      <c r="AA39">
        <f>HYPERLINK("https://klasma.github.io/Logging_2104/klagomålsmail/A 74349-2021 FSC-klagomål mail.docx", "A 74349-2021")</f>
        <v/>
      </c>
      <c r="AB39">
        <f>HYPERLINK("https://klasma.github.io/Logging_2104/tillsyn/A 74349-2021 tillsynsbegäran.docx", "A 74349-2021")</f>
        <v/>
      </c>
      <c r="AC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46223</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s="2" t="inlineStr">
        <is>
          <t>Talltita</t>
        </is>
      </c>
      <c r="V40">
        <f>HYPERLINK("https://klasma.github.io/Logging_2104/artfynd/A 35514-2024 artfynd.xlsx", "A 35514-2024")</f>
        <v/>
      </c>
      <c r="W40">
        <f>HYPERLINK("https://klasma.github.io/Logging_2104/kartor/A 35514-2024 karta.png", "A 35514-2024")</f>
        <v/>
      </c>
      <c r="X40">
        <f>HYPERLINK("https://klasma.github.io/Logging_2104/kartor_geotiff/A 35514-2024 georefererad karta.tif", "A 35514-2024")</f>
        <v/>
      </c>
      <c r="Z40">
        <f>HYPERLINK("https://klasma.github.io/Logging_2104/klagomål/A 35514-2024 FSC-klagomål.docx", "A 35514-2024")</f>
        <v/>
      </c>
      <c r="AA40">
        <f>HYPERLINK("https://klasma.github.io/Logging_2104/klagomålsmail/A 35514-2024 FSC-klagomål mail.docx", "A 35514-2024")</f>
        <v/>
      </c>
      <c r="AB40">
        <f>HYPERLINK("https://klasma.github.io/Logging_2104/tillsyn/A 35514-2024 tillsynsbegäran.docx", "A 35514-2024")</f>
        <v/>
      </c>
      <c r="AC40">
        <f>HYPERLINK("https://klasma.github.io/Logging_2104/tillsynsmail/A 35514-2024 tillsynsbegäran mail.docx", "A 35514-2024")</f>
        <v/>
      </c>
      <c r="AD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46223</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s="2" t="inlineStr">
        <is>
          <t>Vedticka</t>
        </is>
      </c>
      <c r="V41">
        <f>HYPERLINK("https://klasma.github.io/Logging_2104/artfynd/A 33298-2023 artfynd.xlsx", "A 33298-2023")</f>
        <v/>
      </c>
      <c r="W41">
        <f>HYPERLINK("https://klasma.github.io/Logging_2104/kartor/A 33298-2023 karta.png", "A 33298-2023")</f>
        <v/>
      </c>
      <c r="X41">
        <f>HYPERLINK("https://klasma.github.io/Logging_2104/kartor_geotiff/A 33298-2023 georefererad karta.tif", "A 33298-2023")</f>
        <v/>
      </c>
      <c r="Z41">
        <f>HYPERLINK("https://klasma.github.io/Logging_2104/klagomål/A 33298-2023 FSC-klagomål.docx", "A 33298-2023")</f>
        <v/>
      </c>
      <c r="AA41">
        <f>HYPERLINK("https://klasma.github.io/Logging_2104/klagomålsmail/A 33298-2023 FSC-klagomål mail.docx", "A 33298-2023")</f>
        <v/>
      </c>
      <c r="AB41">
        <f>HYPERLINK("https://klasma.github.io/Logging_2104/tillsyn/A 33298-2023 tillsynsbegäran.docx", "A 33298-2023")</f>
        <v/>
      </c>
      <c r="AC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46223</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s="2" t="inlineStr">
        <is>
          <t>Tibast</t>
        </is>
      </c>
      <c r="V42">
        <f>HYPERLINK("https://klasma.github.io/Logging_2104/artfynd/A 30008-2024 artfynd.xlsx", "A 30008-2024")</f>
        <v/>
      </c>
      <c r="W42">
        <f>HYPERLINK("https://klasma.github.io/Logging_2104/kartor/A 30008-2024 karta.png", "A 30008-2024")</f>
        <v/>
      </c>
      <c r="X42">
        <f>HYPERLINK("https://klasma.github.io/Logging_2104/kartor_geotiff/A 30008-2024 georefererad karta.tif", "A 30008-2024")</f>
        <v/>
      </c>
      <c r="Z42">
        <f>HYPERLINK("https://klasma.github.io/Logging_2104/klagomål/A 30008-2024 FSC-klagomål.docx", "A 30008-2024")</f>
        <v/>
      </c>
      <c r="AA42">
        <f>HYPERLINK("https://klasma.github.io/Logging_2104/klagomålsmail/A 30008-2024 FSC-klagomål mail.docx", "A 30008-2024")</f>
        <v/>
      </c>
      <c r="AB42">
        <f>HYPERLINK("https://klasma.github.io/Logging_2104/tillsyn/A 30008-2024 tillsynsbegäran.docx", "A 30008-2024")</f>
        <v/>
      </c>
      <c r="AC42">
        <f>HYPERLINK("https://klasma.github.io/Logging_2104/tillsynsmail/A 30008-2024 tillsynsbegäran mail.docx", "A 30008-2024")</f>
        <v/>
      </c>
    </row>
    <row r="43" ht="15" customHeight="1">
      <c r="A43" t="inlineStr">
        <is>
          <t>A 13745-2023</t>
        </is>
      </c>
      <c r="B43" t="inlineStr">
        <is>
          <t>avverkningsanmälan</t>
        </is>
      </c>
      <c r="C43" t="inlineStr">
        <is>
          <t>Föryngringsavverkning</t>
        </is>
      </c>
      <c r="D43" s="1" t="n">
        <v>45007</v>
      </c>
      <c r="E43" s="1" t="n">
        <v>46223</v>
      </c>
      <c r="F43" t="inlineStr">
        <is>
          <t>GÄVLEBORGS LÄN</t>
        </is>
      </c>
      <c r="G43" t="inlineStr">
        <is>
          <t>HOFORS</t>
        </is>
      </c>
      <c r="H43" t="inlineStr">
        <is>
          <t>Övriga statliga verk och myndigheter</t>
        </is>
      </c>
      <c r="I43" t="n">
        <v>0.5</v>
      </c>
      <c r="J43" t="n">
        <v>0</v>
      </c>
      <c r="K43" t="n">
        <v>0</v>
      </c>
      <c r="L43" t="n">
        <v>1</v>
      </c>
      <c r="M43" t="n">
        <v>0</v>
      </c>
      <c r="N43" t="n">
        <v>0</v>
      </c>
      <c r="O43" t="n">
        <v>0</v>
      </c>
      <c r="P43" t="n">
        <v>0</v>
      </c>
      <c r="Q43" t="n">
        <v>1</v>
      </c>
      <c r="R43" t="n">
        <v>0</v>
      </c>
      <c r="S43" t="n">
        <v>1</v>
      </c>
      <c r="T43" t="n">
        <v>1</v>
      </c>
      <c r="U43" s="2" t="inlineStr">
        <is>
          <t>Stiftgelélav</t>
        </is>
      </c>
      <c r="V43">
        <f>HYPERLINK("https://klasma.github.io/Logging_2104/artfynd/A 13745-2023 artfynd.xlsx", "A 13745-2023")</f>
        <v/>
      </c>
      <c r="W43">
        <f>HYPERLINK("https://klasma.github.io/Logging_2104/kartor/A 13745-2023 karta.png", "A 13745-2023")</f>
        <v/>
      </c>
      <c r="X43">
        <f>HYPERLINK("https://klasma.github.io/Logging_2104/kartor_geotiff/A 13745-2023 georefererad karta.tif", "A 13745-2023")</f>
        <v/>
      </c>
      <c r="Z43">
        <f>HYPERLINK("https://klasma.github.io/Logging_2104/klagomål/A 13745-2023 FSC-klagomål.docx", "A 13745-2023")</f>
        <v/>
      </c>
      <c r="AA43">
        <f>HYPERLINK("https://klasma.github.io/Logging_2104/klagomålsmail/A 13745-2023 FSC-klagomål mail.docx", "A 13745-2023")</f>
        <v/>
      </c>
      <c r="AB43">
        <f>HYPERLINK("https://klasma.github.io/Logging_2104/tillsyn/A 13745-2023 tillsynsbegäran.docx", "A 13745-2023")</f>
        <v/>
      </c>
      <c r="AC43">
        <f>HYPERLINK("https://klasma.github.io/Logging_2104/tillsynsmail/A 13745-2023 tillsynsbegäran mail.docx", "A 13745-2023")</f>
        <v/>
      </c>
    </row>
    <row r="44" ht="15" customHeight="1">
      <c r="A44" t="inlineStr">
        <is>
          <t>A 27438-2025</t>
        </is>
      </c>
      <c r="B44" t="inlineStr">
        <is>
          <t>avverkningsanmälan</t>
        </is>
      </c>
      <c r="C44" t="inlineStr">
        <is>
          <t>Föryngringsavverkning</t>
        </is>
      </c>
      <c r="D44" s="1" t="n">
        <v>45813</v>
      </c>
      <c r="E44" s="1" t="n">
        <v>46223</v>
      </c>
      <c r="F44" t="inlineStr">
        <is>
          <t>GÄVLEBORGS LÄN</t>
        </is>
      </c>
      <c r="G44" t="inlineStr">
        <is>
          <t>HOFORS</t>
        </is>
      </c>
      <c r="H44" t="inlineStr">
        <is>
          <t>Sveaskog</t>
        </is>
      </c>
      <c r="I44" t="n">
        <v>0.9</v>
      </c>
      <c r="J44" t="n">
        <v>1</v>
      </c>
      <c r="K44" t="n">
        <v>0</v>
      </c>
      <c r="L44" t="n">
        <v>0</v>
      </c>
      <c r="M44" t="n">
        <v>0</v>
      </c>
      <c r="N44" t="n">
        <v>0</v>
      </c>
      <c r="O44" t="n">
        <v>0</v>
      </c>
      <c r="P44" t="n">
        <v>0</v>
      </c>
      <c r="Q44" t="n">
        <v>0</v>
      </c>
      <c r="R44" t="n">
        <v>0</v>
      </c>
      <c r="S44" t="n">
        <v>1</v>
      </c>
      <c r="T44" t="n">
        <v>2</v>
      </c>
      <c r="U44" s="2" t="inlineStr">
        <is>
          <t>Fläcknycklar</t>
        </is>
      </c>
      <c r="V44">
        <f>HYPERLINK("https://klasma.github.io/Logging_2104/artfynd/A 27438-2025 artfynd.xlsx", "A 27438-2025")</f>
        <v/>
      </c>
      <c r="W44">
        <f>HYPERLINK("https://klasma.github.io/Logging_2104/kartor/A 27438-2025 karta.png", "A 27438-2025")</f>
        <v/>
      </c>
      <c r="X44">
        <f>HYPERLINK("https://klasma.github.io/Logging_2104/kartor_geotiff/A 27438-2025 georefererad karta.tif", "A 27438-2025")</f>
        <v/>
      </c>
      <c r="Z44">
        <f>HYPERLINK("https://klasma.github.io/Logging_2104/klagomål/A 27438-2025 FSC-klagomål.docx", "A 27438-2025")</f>
        <v/>
      </c>
      <c r="AA44">
        <f>HYPERLINK("https://klasma.github.io/Logging_2104/klagomålsmail/A 27438-2025 FSC-klagomål mail.docx", "A 27438-2025")</f>
        <v/>
      </c>
      <c r="AB44">
        <f>HYPERLINK("https://klasma.github.io/Logging_2104/tillsyn/A 27438-2025 tillsynsbegäran.docx", "A 27438-2025")</f>
        <v/>
      </c>
      <c r="AC44">
        <f>HYPERLINK("https://klasma.github.io/Logging_2104/tillsynsmail/A 27438-2025 tillsynsbegäran mail.docx", "A 27438-2025")</f>
        <v/>
      </c>
    </row>
    <row r="45" ht="15" customHeight="1">
      <c r="A45" t="inlineStr">
        <is>
          <t>A 27432-2025</t>
        </is>
      </c>
      <c r="B45" t="inlineStr">
        <is>
          <t>avverkningsanmälan</t>
        </is>
      </c>
      <c r="C45" t="inlineStr">
        <is>
          <t>Föryngringsavverkning</t>
        </is>
      </c>
      <c r="D45" s="1" t="n">
        <v>45813</v>
      </c>
      <c r="E45" s="1" t="n">
        <v>46223</v>
      </c>
      <c r="F45" t="inlineStr">
        <is>
          <t>GÄVLEBORGS LÄN</t>
        </is>
      </c>
      <c r="G45" t="inlineStr">
        <is>
          <t>HOFORS</t>
        </is>
      </c>
      <c r="H45" t="inlineStr">
        <is>
          <t>Sveaskog</t>
        </is>
      </c>
      <c r="I45" t="n">
        <v>3.6</v>
      </c>
      <c r="J45" t="n">
        <v>1</v>
      </c>
      <c r="K45" t="n">
        <v>0</v>
      </c>
      <c r="L45" t="n">
        <v>0</v>
      </c>
      <c r="M45" t="n">
        <v>0</v>
      </c>
      <c r="N45" t="n">
        <v>0</v>
      </c>
      <c r="O45" t="n">
        <v>0</v>
      </c>
      <c r="P45" t="n">
        <v>0</v>
      </c>
      <c r="Q45" t="n">
        <v>0</v>
      </c>
      <c r="R45" t="n">
        <v>0</v>
      </c>
      <c r="S45" t="n">
        <v>1</v>
      </c>
      <c r="T45" t="n">
        <v>1</v>
      </c>
      <c r="U45" s="2" t="inlineStr">
        <is>
          <t>Revlummer</t>
        </is>
      </c>
      <c r="V45">
        <f>HYPERLINK("https://klasma.github.io/Logging_2104/artfynd/A 27432-2025 artfynd.xlsx", "A 27432-2025")</f>
        <v/>
      </c>
      <c r="W45">
        <f>HYPERLINK("https://klasma.github.io/Logging_2104/kartor/A 27432-2025 karta.png", "A 27432-2025")</f>
        <v/>
      </c>
      <c r="X45">
        <f>HYPERLINK("https://klasma.github.io/Logging_2104/kartor_geotiff/A 27432-2025 georefererad karta.tif", "A 27432-2025")</f>
        <v/>
      </c>
      <c r="Z45">
        <f>HYPERLINK("https://klasma.github.io/Logging_2104/klagomål/A 27432-2025 FSC-klagomål.docx", "A 27432-2025")</f>
        <v/>
      </c>
      <c r="AA45">
        <f>HYPERLINK("https://klasma.github.io/Logging_2104/klagomålsmail/A 27432-2025 FSC-klagomål mail.docx", "A 27432-2025")</f>
        <v/>
      </c>
      <c r="AB45">
        <f>HYPERLINK("https://klasma.github.io/Logging_2104/tillsyn/A 27432-2025 tillsynsbegäran.docx", "A 27432-2025")</f>
        <v/>
      </c>
      <c r="AC45">
        <f>HYPERLINK("https://klasma.github.io/Logging_2104/tillsynsmail/A 27432-2025 tillsynsbegäran mail.docx", "A 27432-2025")</f>
        <v/>
      </c>
    </row>
    <row r="46" ht="15" customHeight="1">
      <c r="A46" t="inlineStr">
        <is>
          <t>A 27441-2025</t>
        </is>
      </c>
      <c r="B46" t="inlineStr">
        <is>
          <t>avverkningsanmälan</t>
        </is>
      </c>
      <c r="C46" t="inlineStr">
        <is>
          <t>Föryngringsavverkning</t>
        </is>
      </c>
      <c r="D46" s="1" t="n">
        <v>45813</v>
      </c>
      <c r="E46" s="1" t="n">
        <v>46223</v>
      </c>
      <c r="F46" t="inlineStr">
        <is>
          <t>GÄVLEBORGS LÄN</t>
        </is>
      </c>
      <c r="G46" t="inlineStr">
        <is>
          <t>HOFORS</t>
        </is>
      </c>
      <c r="H46" t="inlineStr">
        <is>
          <t>Sveaskog</t>
        </is>
      </c>
      <c r="I46" t="n">
        <v>1.2</v>
      </c>
      <c r="J46" t="n">
        <v>1</v>
      </c>
      <c r="K46" t="n">
        <v>0</v>
      </c>
      <c r="L46" t="n">
        <v>0</v>
      </c>
      <c r="M46" t="n">
        <v>0</v>
      </c>
      <c r="N46" t="n">
        <v>0</v>
      </c>
      <c r="O46" t="n">
        <v>0</v>
      </c>
      <c r="P46" t="n">
        <v>0</v>
      </c>
      <c r="Q46" t="n">
        <v>0</v>
      </c>
      <c r="R46" t="n">
        <v>0</v>
      </c>
      <c r="S46" t="n">
        <v>1</v>
      </c>
      <c r="T46" t="n">
        <v>1</v>
      </c>
      <c r="U46" s="2" t="inlineStr">
        <is>
          <t>Fläcknycklar</t>
        </is>
      </c>
      <c r="V46">
        <f>HYPERLINK("https://klasma.github.io/Logging_2104/artfynd/A 27441-2025 artfynd.xlsx", "A 27441-2025")</f>
        <v/>
      </c>
      <c r="W46">
        <f>HYPERLINK("https://klasma.github.io/Logging_2104/kartor/A 27441-2025 karta.png", "A 27441-2025")</f>
        <v/>
      </c>
      <c r="X46">
        <f>HYPERLINK("https://klasma.github.io/Logging_2104/kartor_geotiff/A 27441-2025 georefererad karta.tif", "A 27441-2025")</f>
        <v/>
      </c>
      <c r="Z46">
        <f>HYPERLINK("https://klasma.github.io/Logging_2104/klagomål/A 27441-2025 FSC-klagomål.docx", "A 27441-2025")</f>
        <v/>
      </c>
      <c r="AA46">
        <f>HYPERLINK("https://klasma.github.io/Logging_2104/klagomålsmail/A 27441-2025 FSC-klagomål mail.docx", "A 27441-2025")</f>
        <v/>
      </c>
      <c r="AB46">
        <f>HYPERLINK("https://klasma.github.io/Logging_2104/tillsyn/A 27441-2025 tillsynsbegäran.docx", "A 27441-2025")</f>
        <v/>
      </c>
      <c r="AC46">
        <f>HYPERLINK("https://klasma.github.io/Logging_2104/tillsynsmail/A 27441-2025 tillsynsbegäran mail.docx", "A 27441-2025")</f>
        <v/>
      </c>
    </row>
    <row r="47" ht="15" customHeight="1">
      <c r="A47" t="inlineStr">
        <is>
          <t>A 27431-2025</t>
        </is>
      </c>
      <c r="B47" t="inlineStr">
        <is>
          <t>avverkningsanmälan</t>
        </is>
      </c>
      <c r="C47" t="inlineStr">
        <is>
          <t>Föryngringsavverkning</t>
        </is>
      </c>
      <c r="D47" s="1" t="n">
        <v>45813</v>
      </c>
      <c r="E47" s="1" t="n">
        <v>46223</v>
      </c>
      <c r="F47" t="inlineStr">
        <is>
          <t>GÄVLEBORGS LÄN</t>
        </is>
      </c>
      <c r="G47" t="inlineStr">
        <is>
          <t>HOFORS</t>
        </is>
      </c>
      <c r="H47" t="inlineStr">
        <is>
          <t>Sveaskog</t>
        </is>
      </c>
      <c r="I47" t="n">
        <v>3.4</v>
      </c>
      <c r="J47" t="n">
        <v>1</v>
      </c>
      <c r="K47" t="n">
        <v>0</v>
      </c>
      <c r="L47" t="n">
        <v>0</v>
      </c>
      <c r="M47" t="n">
        <v>1</v>
      </c>
      <c r="N47" t="n">
        <v>0</v>
      </c>
      <c r="O47" t="n">
        <v>0</v>
      </c>
      <c r="P47" t="n">
        <v>0</v>
      </c>
      <c r="Q47" t="n">
        <v>1</v>
      </c>
      <c r="R47" t="n">
        <v>1</v>
      </c>
      <c r="S47" t="n">
        <v>1</v>
      </c>
      <c r="T47" t="n">
        <v>4</v>
      </c>
      <c r="U47" s="2" t="inlineStr">
        <is>
          <t>Väddnätfjäril</t>
        </is>
      </c>
      <c r="V47">
        <f>HYPERLINK("https://klasma.github.io/Logging_2104/artfynd/A 27431-2025 artfynd.xlsx", "A 27431-2025")</f>
        <v/>
      </c>
      <c r="W47">
        <f>HYPERLINK("https://klasma.github.io/Logging_2104/kartor/A 27431-2025 karta.png", "A 27431-2025")</f>
        <v/>
      </c>
      <c r="X47">
        <f>HYPERLINK("https://klasma.github.io/Logging_2104/kartor_geotiff/A 27431-2025 georefererad karta.tif", "A 27431-2025")</f>
        <v/>
      </c>
      <c r="Z47">
        <f>HYPERLINK("https://klasma.github.io/Logging_2104/klagomål/A 27431-2025 FSC-klagomål.docx", "A 27431-2025")</f>
        <v/>
      </c>
      <c r="AA47">
        <f>HYPERLINK("https://klasma.github.io/Logging_2104/klagomålsmail/A 27431-2025 FSC-klagomål mail.docx", "A 27431-2025")</f>
        <v/>
      </c>
      <c r="AB47">
        <f>HYPERLINK("https://klasma.github.io/Logging_2104/tillsyn/A 27431-2025 tillsynsbegäran.docx", "A 27431-2025")</f>
        <v/>
      </c>
      <c r="AC47">
        <f>HYPERLINK("https://klasma.github.io/Logging_2104/tillsynsmail/A 27431-2025 tillsynsbegäran mail.docx", "A 27431-2025")</f>
        <v/>
      </c>
    </row>
    <row r="48" ht="15" customHeight="1">
      <c r="A48" t="inlineStr">
        <is>
          <t>A 48063-2024</t>
        </is>
      </c>
      <c r="B48" t="inlineStr">
        <is>
          <t>avverkningsanmälan</t>
        </is>
      </c>
      <c r="C48" t="inlineStr">
        <is>
          <t>Föryngringsavverkning</t>
        </is>
      </c>
      <c r="D48" s="1" t="n">
        <v>45589</v>
      </c>
      <c r="E48" s="1" t="n">
        <v>46223</v>
      </c>
      <c r="F48" t="inlineStr">
        <is>
          <t>GÄVLEBORGS LÄN</t>
        </is>
      </c>
      <c r="G48" t="inlineStr">
        <is>
          <t>HOFORS</t>
        </is>
      </c>
      <c r="I48" t="n">
        <v>3.9</v>
      </c>
      <c r="J48" t="n">
        <v>1</v>
      </c>
      <c r="K48" t="n">
        <v>1</v>
      </c>
      <c r="L48" t="n">
        <v>0</v>
      </c>
      <c r="M48" t="n">
        <v>0</v>
      </c>
      <c r="N48" t="n">
        <v>0</v>
      </c>
      <c r="O48" t="n">
        <v>0</v>
      </c>
      <c r="P48" t="n">
        <v>0</v>
      </c>
      <c r="Q48" t="n">
        <v>0</v>
      </c>
      <c r="R48" t="n">
        <v>0</v>
      </c>
      <c r="S48" t="n">
        <v>1</v>
      </c>
      <c r="T48" t="n">
        <v>1</v>
      </c>
      <c r="U48" s="2" t="inlineStr">
        <is>
          <t>Tvåblad</t>
        </is>
      </c>
      <c r="V48">
        <f>HYPERLINK("https://klasma.github.io/Logging_2104/artfynd/A 48063-2024 artfynd.xlsx", "A 48063-2024")</f>
        <v/>
      </c>
      <c r="W48">
        <f>HYPERLINK("https://klasma.github.io/Logging_2104/kartor/A 48063-2024 karta.png", "A 48063-2024")</f>
        <v/>
      </c>
      <c r="X48">
        <f>HYPERLINK("https://klasma.github.io/Logging_2104/kartor_geotiff/A 48063-2024 georefererad karta.tif", "A 48063-2024")</f>
        <v/>
      </c>
      <c r="Z48">
        <f>HYPERLINK("https://klasma.github.io/Logging_2104/klagomål/A 48063-2024 FSC-klagomål.docx", "A 48063-2024")</f>
        <v/>
      </c>
      <c r="AA48">
        <f>HYPERLINK("https://klasma.github.io/Logging_2104/klagomålsmail/A 48063-2024 FSC-klagomål mail.docx", "A 48063-2024")</f>
        <v/>
      </c>
      <c r="AB48">
        <f>HYPERLINK("https://klasma.github.io/Logging_2104/tillsyn/A 48063-2024 tillsynsbegäran.docx", "A 48063-2024")</f>
        <v/>
      </c>
      <c r="AC48">
        <f>HYPERLINK("https://klasma.github.io/Logging_2104/tillsynsmail/A 48063-2024 tillsynsbegäran mail.docx", "A 48063-2024")</f>
        <v/>
      </c>
    </row>
    <row r="49" ht="15" customHeight="1">
      <c r="A49" t="inlineStr">
        <is>
          <t>A 41621-2025</t>
        </is>
      </c>
      <c r="B49" t="inlineStr">
        <is>
          <t>avverkningsanmälan</t>
        </is>
      </c>
      <c r="C49" t="inlineStr">
        <is>
          <t>Föryngringsavverkning</t>
        </is>
      </c>
      <c r="D49" s="1" t="n">
        <v>45901</v>
      </c>
      <c r="E49" s="1" t="n">
        <v>46223</v>
      </c>
      <c r="F49" t="inlineStr">
        <is>
          <t>GÄVLEBORGS LÄN</t>
        </is>
      </c>
      <c r="G49" t="inlineStr">
        <is>
          <t>HOFORS</t>
        </is>
      </c>
      <c r="H49" t="inlineStr">
        <is>
          <t>Sveaskog</t>
        </is>
      </c>
      <c r="I49" t="n">
        <v>2</v>
      </c>
      <c r="J49" t="n">
        <v>1</v>
      </c>
      <c r="K49" t="n">
        <v>1</v>
      </c>
      <c r="L49" t="n">
        <v>0</v>
      </c>
      <c r="M49" t="n">
        <v>0</v>
      </c>
      <c r="N49" t="n">
        <v>0</v>
      </c>
      <c r="O49" t="n">
        <v>0</v>
      </c>
      <c r="P49" t="n">
        <v>0</v>
      </c>
      <c r="Q49" t="n">
        <v>0</v>
      </c>
      <c r="R49" t="n">
        <v>0</v>
      </c>
      <c r="S49" t="n">
        <v>1</v>
      </c>
      <c r="T49" t="n">
        <v>1</v>
      </c>
      <c r="U49" s="2" t="inlineStr">
        <is>
          <t>Plattlummer</t>
        </is>
      </c>
      <c r="V49">
        <f>HYPERLINK("https://klasma.github.io/Logging_2104/artfynd/A 41621-2025 artfynd.xlsx", "A 41621-2025")</f>
        <v/>
      </c>
      <c r="W49">
        <f>HYPERLINK("https://klasma.github.io/Logging_2104/kartor/A 41621-2025 karta.png", "A 41621-2025")</f>
        <v/>
      </c>
      <c r="X49">
        <f>HYPERLINK("https://klasma.github.io/Logging_2104/kartor_geotiff/A 41621-2025 georefererad karta.tif", "A 41621-2025")</f>
        <v/>
      </c>
      <c r="Z49">
        <f>HYPERLINK("https://klasma.github.io/Logging_2104/klagomål/A 41621-2025 FSC-klagomål.docx", "A 41621-2025")</f>
        <v/>
      </c>
      <c r="AA49">
        <f>HYPERLINK("https://klasma.github.io/Logging_2104/klagomålsmail/A 41621-2025 FSC-klagomål mail.docx", "A 41621-2025")</f>
        <v/>
      </c>
      <c r="AB49">
        <f>HYPERLINK("https://klasma.github.io/Logging_2104/tillsyn/A 41621-2025 tillsynsbegäran.docx", "A 41621-2025")</f>
        <v/>
      </c>
      <c r="AC49">
        <f>HYPERLINK("https://klasma.github.io/Logging_2104/tillsynsmail/A 41621-2025 tillsynsbegäran mail.docx", "A 41621-2025")</f>
        <v/>
      </c>
    </row>
    <row r="50" ht="15" customHeight="1">
      <c r="A50" t="inlineStr">
        <is>
          <t>A 41568-2025</t>
        </is>
      </c>
      <c r="B50" t="inlineStr">
        <is>
          <t>avverkningsanmälan</t>
        </is>
      </c>
      <c r="C50" t="inlineStr">
        <is>
          <t>Föryngringsavverkning</t>
        </is>
      </c>
      <c r="D50" s="1" t="n">
        <v>45901</v>
      </c>
      <c r="E50" s="1" t="n">
        <v>46223</v>
      </c>
      <c r="F50" t="inlineStr">
        <is>
          <t>GÄVLEBORGS LÄN</t>
        </is>
      </c>
      <c r="G50" t="inlineStr">
        <is>
          <t>HOFORS</t>
        </is>
      </c>
      <c r="H50" t="inlineStr">
        <is>
          <t>Sveaskog</t>
        </is>
      </c>
      <c r="I50" t="n">
        <v>6.8</v>
      </c>
      <c r="J50" t="n">
        <v>1</v>
      </c>
      <c r="K50" t="n">
        <v>1</v>
      </c>
      <c r="L50" t="n">
        <v>0</v>
      </c>
      <c r="M50" t="n">
        <v>0</v>
      </c>
      <c r="N50" t="n">
        <v>0</v>
      </c>
      <c r="O50" t="n">
        <v>0</v>
      </c>
      <c r="P50" t="n">
        <v>0</v>
      </c>
      <c r="Q50" t="n">
        <v>0</v>
      </c>
      <c r="R50" t="n">
        <v>0</v>
      </c>
      <c r="S50" t="n">
        <v>1</v>
      </c>
      <c r="T50" t="n">
        <v>2</v>
      </c>
      <c r="U50" s="2" t="inlineStr">
        <is>
          <t>Plattlummer</t>
        </is>
      </c>
      <c r="V50">
        <f>HYPERLINK("https://klasma.github.io/Logging_2104/artfynd/A 41568-2025 artfynd.xlsx", "A 41568-2025")</f>
        <v/>
      </c>
      <c r="W50">
        <f>HYPERLINK("https://klasma.github.io/Logging_2104/kartor/A 41568-2025 karta.png", "A 41568-2025")</f>
        <v/>
      </c>
      <c r="X50">
        <f>HYPERLINK("https://klasma.github.io/Logging_2104/kartor_geotiff/A 41568-2025 georefererad karta.tif", "A 41568-2025")</f>
        <v/>
      </c>
      <c r="Z50">
        <f>HYPERLINK("https://klasma.github.io/Logging_2104/klagomål/A 41568-2025 FSC-klagomål.docx", "A 41568-2025")</f>
        <v/>
      </c>
      <c r="AA50">
        <f>HYPERLINK("https://klasma.github.io/Logging_2104/klagomålsmail/A 41568-2025 FSC-klagomål mail.docx", "A 41568-2025")</f>
        <v/>
      </c>
      <c r="AB50">
        <f>HYPERLINK("https://klasma.github.io/Logging_2104/tillsyn/A 41568-2025 tillsynsbegäran.docx", "A 41568-2025")</f>
        <v/>
      </c>
      <c r="AC50">
        <f>HYPERLINK("https://klasma.github.io/Logging_2104/tillsynsmail/A 41568-2025 tillsynsbegäran mail.docx", "A 41568-2025")</f>
        <v/>
      </c>
    </row>
    <row r="51" ht="15" customHeight="1">
      <c r="A51" t="inlineStr">
        <is>
          <t>A 23354-2024</t>
        </is>
      </c>
      <c r="B51" t="inlineStr">
        <is>
          <t>avverkningsanmälan</t>
        </is>
      </c>
      <c r="C51" t="inlineStr">
        <is>
          <t>Föryngringsavverkning</t>
        </is>
      </c>
      <c r="D51" s="1" t="n">
        <v>45453</v>
      </c>
      <c r="E51" s="1" t="n">
        <v>46223</v>
      </c>
      <c r="F51" t="inlineStr">
        <is>
          <t>GÄVLEBORGS LÄN</t>
        </is>
      </c>
      <c r="G51" t="inlineStr">
        <is>
          <t>HOFORS</t>
        </is>
      </c>
      <c r="H51" t="inlineStr">
        <is>
          <t>Sveaskog</t>
        </is>
      </c>
      <c r="I51" t="n">
        <v>2</v>
      </c>
      <c r="J51" t="n">
        <v>1</v>
      </c>
      <c r="K51" t="n">
        <v>0</v>
      </c>
      <c r="L51" t="n">
        <v>0</v>
      </c>
      <c r="M51" t="n">
        <v>0</v>
      </c>
      <c r="N51" t="n">
        <v>0</v>
      </c>
      <c r="O51" t="n">
        <v>0</v>
      </c>
      <c r="P51" t="n">
        <v>0</v>
      </c>
      <c r="Q51" t="n">
        <v>0</v>
      </c>
      <c r="R51" t="n">
        <v>0</v>
      </c>
      <c r="S51" t="n">
        <v>1</v>
      </c>
      <c r="T51" t="n">
        <v>1</v>
      </c>
      <c r="U51" s="2" t="inlineStr">
        <is>
          <t>Fläcknycklar</t>
        </is>
      </c>
      <c r="V51">
        <f>HYPERLINK("https://klasma.github.io/Logging_2104/artfynd/A 23354-2024 artfynd.xlsx", "A 23354-2024")</f>
        <v/>
      </c>
      <c r="W51">
        <f>HYPERLINK("https://klasma.github.io/Logging_2104/kartor/A 23354-2024 karta.png", "A 23354-2024")</f>
        <v/>
      </c>
      <c r="X51">
        <f>HYPERLINK("https://klasma.github.io/Logging_2104/kartor_geotiff/A 23354-2024 georefererad karta.tif", "A 23354-2024")</f>
        <v/>
      </c>
      <c r="Z51">
        <f>HYPERLINK("https://klasma.github.io/Logging_2104/klagomål/A 23354-2024 FSC-klagomål.docx", "A 23354-2024")</f>
        <v/>
      </c>
      <c r="AA51">
        <f>HYPERLINK("https://klasma.github.io/Logging_2104/klagomålsmail/A 23354-2024 FSC-klagomål mail.docx", "A 23354-2024")</f>
        <v/>
      </c>
      <c r="AB51">
        <f>HYPERLINK("https://klasma.github.io/Logging_2104/tillsyn/A 23354-2024 tillsynsbegäran.docx", "A 23354-2024")</f>
        <v/>
      </c>
      <c r="AC51">
        <f>HYPERLINK("https://klasma.github.io/Logging_2104/tillsynsmail/A 23354-2024 tillsynsbegäran mail.docx", "A 23354-2024")</f>
        <v/>
      </c>
    </row>
    <row r="52" ht="15" customHeight="1">
      <c r="A52" t="inlineStr">
        <is>
          <t>A 44694-2025</t>
        </is>
      </c>
      <c r="B52" t="inlineStr">
        <is>
          <t>avverkningsanmälan</t>
        </is>
      </c>
      <c r="C52" t="inlineStr">
        <is>
          <t>Föryngringsavverkning</t>
        </is>
      </c>
      <c r="D52" s="1" t="n">
        <v>45917</v>
      </c>
      <c r="E52" s="1" t="n">
        <v>46223</v>
      </c>
      <c r="F52" t="inlineStr">
        <is>
          <t>GÄVLEBORGS LÄN</t>
        </is>
      </c>
      <c r="G52" t="inlineStr">
        <is>
          <t>HOFORS</t>
        </is>
      </c>
      <c r="H52" t="inlineStr">
        <is>
          <t>Sveaskog</t>
        </is>
      </c>
      <c r="I52" t="n">
        <v>12.1</v>
      </c>
      <c r="J52" t="n">
        <v>0</v>
      </c>
      <c r="K52" t="n">
        <v>0</v>
      </c>
      <c r="L52" t="n">
        <v>1</v>
      </c>
      <c r="M52" t="n">
        <v>0</v>
      </c>
      <c r="N52" t="n">
        <v>0</v>
      </c>
      <c r="O52" t="n">
        <v>0</v>
      </c>
      <c r="P52" t="n">
        <v>0</v>
      </c>
      <c r="Q52" t="n">
        <v>1</v>
      </c>
      <c r="R52" t="n">
        <v>0</v>
      </c>
      <c r="S52" t="n">
        <v>1</v>
      </c>
      <c r="T52" t="n">
        <v>1</v>
      </c>
      <c r="U52" s="2" t="inlineStr">
        <is>
          <t>Brunklöver</t>
        </is>
      </c>
      <c r="V52">
        <f>HYPERLINK("https://klasma.github.io/Logging_2104/artfynd/A 44694-2025 artfynd.xlsx", "A 44694-2025")</f>
        <v/>
      </c>
      <c r="W52">
        <f>HYPERLINK("https://klasma.github.io/Logging_2104/kartor/A 44694-2025 karta.png", "A 44694-2025")</f>
        <v/>
      </c>
      <c r="X52">
        <f>HYPERLINK("https://klasma.github.io/Logging_2104/kartor_geotiff/A 44694-2025 georefererad karta.tif", "A 44694-2025")</f>
        <v/>
      </c>
      <c r="Z52">
        <f>HYPERLINK("https://klasma.github.io/Logging_2104/klagomål/A 44694-2025 FSC-klagomål.docx", "A 44694-2025")</f>
        <v/>
      </c>
      <c r="AA52">
        <f>HYPERLINK("https://klasma.github.io/Logging_2104/klagomålsmail/A 44694-2025 FSC-klagomål mail.docx", "A 44694-2025")</f>
        <v/>
      </c>
      <c r="AB52">
        <f>HYPERLINK("https://klasma.github.io/Logging_2104/tillsyn/A 44694-2025 tillsynsbegäran.docx", "A 44694-2025")</f>
        <v/>
      </c>
      <c r="AC52">
        <f>HYPERLINK("https://klasma.github.io/Logging_2104/tillsynsmail/A 44694-2025 tillsynsbegäran mail.docx", "A 44694-2025")</f>
        <v/>
      </c>
    </row>
    <row r="53" ht="15" customHeight="1">
      <c r="A53" t="inlineStr">
        <is>
          <t>A 7543-2024</t>
        </is>
      </c>
      <c r="B53" t="inlineStr">
        <is>
          <t>avverkningsanmälan</t>
        </is>
      </c>
      <c r="C53" t="inlineStr">
        <is>
          <t>Föryngringsavverkning</t>
        </is>
      </c>
      <c r="D53" s="1" t="n">
        <v>45348</v>
      </c>
      <c r="E53" s="1" t="n">
        <v>46223</v>
      </c>
      <c r="F53" t="inlineStr">
        <is>
          <t>GÄVLEBORGS LÄN</t>
        </is>
      </c>
      <c r="G53" t="inlineStr">
        <is>
          <t>HOFORS</t>
        </is>
      </c>
      <c r="I53" t="n">
        <v>3.2</v>
      </c>
      <c r="J53" t="n">
        <v>0</v>
      </c>
      <c r="K53" t="n">
        <v>1</v>
      </c>
      <c r="L53" t="n">
        <v>0</v>
      </c>
      <c r="M53" t="n">
        <v>0</v>
      </c>
      <c r="N53" t="n">
        <v>0</v>
      </c>
      <c r="O53" t="n">
        <v>0</v>
      </c>
      <c r="P53" t="n">
        <v>0</v>
      </c>
      <c r="Q53" t="n">
        <v>0</v>
      </c>
      <c r="R53" t="n">
        <v>0</v>
      </c>
      <c r="S53" t="n">
        <v>1</v>
      </c>
      <c r="T53" t="n">
        <v>2</v>
      </c>
      <c r="U53" s="2" t="inlineStr">
        <is>
          <t>Svart trolldruva</t>
        </is>
      </c>
      <c r="V53">
        <f>HYPERLINK("https://klasma.github.io/Logging_2104/artfynd/A 7543-2024 artfynd.xlsx", "A 7543-2024")</f>
        <v/>
      </c>
      <c r="W53">
        <f>HYPERLINK("https://klasma.github.io/Logging_2104/kartor/A 7543-2024 karta.png", "A 7543-2024")</f>
        <v/>
      </c>
      <c r="X53">
        <f>HYPERLINK("https://klasma.github.io/Logging_2104/kartor_geotiff/A 7543-2024 georefererad karta.tif", "A 7543-2024")</f>
        <v/>
      </c>
      <c r="Z53">
        <f>HYPERLINK("https://klasma.github.io/Logging_2104/klagomål/A 7543-2024 FSC-klagomål.docx", "A 7543-2024")</f>
        <v/>
      </c>
      <c r="AA53">
        <f>HYPERLINK("https://klasma.github.io/Logging_2104/klagomålsmail/A 7543-2024 FSC-klagomål mail.docx", "A 7543-2024")</f>
        <v/>
      </c>
      <c r="AB53">
        <f>HYPERLINK("https://klasma.github.io/Logging_2104/tillsyn/A 7543-2024 tillsynsbegäran.docx", "A 7543-2024")</f>
        <v/>
      </c>
      <c r="AC53">
        <f>HYPERLINK("https://klasma.github.io/Logging_2104/tillsynsmail/A 7543-2024 tillsynsbegäran mail.docx", "A 7543-2024")</f>
        <v/>
      </c>
    </row>
    <row r="54" ht="15" customHeight="1">
      <c r="A54" t="inlineStr">
        <is>
          <t>A 35743-2025</t>
        </is>
      </c>
      <c r="B54" t="inlineStr">
        <is>
          <t>avverkningsanmälan</t>
        </is>
      </c>
      <c r="C54" t="inlineStr">
        <is>
          <t>Föryngringsavverkning</t>
        </is>
      </c>
      <c r="D54" s="1" t="n">
        <v>45860</v>
      </c>
      <c r="E54" s="1" t="n">
        <v>46223</v>
      </c>
      <c r="F54" t="inlineStr">
        <is>
          <t>GÄVLEBORGS LÄN</t>
        </is>
      </c>
      <c r="G54" t="inlineStr">
        <is>
          <t>HOFORS</t>
        </is>
      </c>
      <c r="H54" t="inlineStr">
        <is>
          <t>Sveaskog</t>
        </is>
      </c>
      <c r="I54" t="n">
        <v>1.4</v>
      </c>
      <c r="J54" t="n">
        <v>1</v>
      </c>
      <c r="K54" t="n">
        <v>0</v>
      </c>
      <c r="L54" t="n">
        <v>0</v>
      </c>
      <c r="M54" t="n">
        <v>0</v>
      </c>
      <c r="N54" t="n">
        <v>0</v>
      </c>
      <c r="O54" t="n">
        <v>0</v>
      </c>
      <c r="P54" t="n">
        <v>0</v>
      </c>
      <c r="Q54" t="n">
        <v>0</v>
      </c>
      <c r="R54" t="n">
        <v>0</v>
      </c>
      <c r="S54" t="n">
        <v>1</v>
      </c>
      <c r="T54" t="n">
        <v>1</v>
      </c>
      <c r="U54" s="2" t="inlineStr">
        <is>
          <t>Mattlummer</t>
        </is>
      </c>
      <c r="V54">
        <f>HYPERLINK("https://klasma.github.io/Logging_2104/artfynd/A 35743-2025 artfynd.xlsx", "A 35743-2025")</f>
        <v/>
      </c>
      <c r="W54">
        <f>HYPERLINK("https://klasma.github.io/Logging_2104/kartor/A 35743-2025 karta.png", "A 35743-2025")</f>
        <v/>
      </c>
      <c r="X54">
        <f>HYPERLINK("https://klasma.github.io/Logging_2104/kartor_geotiff/A 35743-2025 georefererad karta.tif", "A 35743-2025")</f>
        <v/>
      </c>
      <c r="Z54">
        <f>HYPERLINK("https://klasma.github.io/Logging_2104/klagomål/A 35743-2025 FSC-klagomål.docx", "A 35743-2025")</f>
        <v/>
      </c>
      <c r="AA54">
        <f>HYPERLINK("https://klasma.github.io/Logging_2104/klagomålsmail/A 35743-2025 FSC-klagomål mail.docx", "A 35743-2025")</f>
        <v/>
      </c>
      <c r="AB54">
        <f>HYPERLINK("https://klasma.github.io/Logging_2104/tillsyn/A 35743-2025 tillsynsbegäran.docx", "A 35743-2025")</f>
        <v/>
      </c>
      <c r="AC54">
        <f>HYPERLINK("https://klasma.github.io/Logging_2104/tillsynsmail/A 35743-2025 tillsynsbegäran mail.docx", "A 35743-2025")</f>
        <v/>
      </c>
    </row>
    <row r="55" ht="15" customHeight="1">
      <c r="A55" t="inlineStr">
        <is>
          <t>A 36606-2025</t>
        </is>
      </c>
      <c r="B55" t="inlineStr">
        <is>
          <t>avverkningsanmälan</t>
        </is>
      </c>
      <c r="C55" t="inlineStr">
        <is>
          <t>Föryngringsavverkning</t>
        </is>
      </c>
      <c r="D55" s="1" t="n">
        <v>45870</v>
      </c>
      <c r="E55" s="1" t="n">
        <v>46223</v>
      </c>
      <c r="F55" t="inlineStr">
        <is>
          <t>GÄVLEBORGS LÄN</t>
        </is>
      </c>
      <c r="G55" t="inlineStr">
        <is>
          <t>HOFORS</t>
        </is>
      </c>
      <c r="H55" t="inlineStr">
        <is>
          <t>Sveaskog</t>
        </is>
      </c>
      <c r="I55" t="n">
        <v>13.3</v>
      </c>
      <c r="J55" t="n">
        <v>0</v>
      </c>
      <c r="K55" t="n">
        <v>0</v>
      </c>
      <c r="L55" t="n">
        <v>1</v>
      </c>
      <c r="M55" t="n">
        <v>0</v>
      </c>
      <c r="N55" t="n">
        <v>0</v>
      </c>
      <c r="O55" t="n">
        <v>0</v>
      </c>
      <c r="P55" t="n">
        <v>0</v>
      </c>
      <c r="Q55" t="n">
        <v>1</v>
      </c>
      <c r="R55" t="n">
        <v>0</v>
      </c>
      <c r="S55" t="n">
        <v>1</v>
      </c>
      <c r="T55" t="n">
        <v>1</v>
      </c>
      <c r="U55" s="2" t="inlineStr">
        <is>
          <t>Brunklöver</t>
        </is>
      </c>
      <c r="V55">
        <f>HYPERLINK("https://klasma.github.io/Logging_2104/artfynd/A 36606-2025 artfynd.xlsx", "A 36606-2025")</f>
        <v/>
      </c>
      <c r="W55">
        <f>HYPERLINK("https://klasma.github.io/Logging_2104/kartor/A 36606-2025 karta.png", "A 36606-2025")</f>
        <v/>
      </c>
      <c r="X55">
        <f>HYPERLINK("https://klasma.github.io/Logging_2104/kartor_geotiff/A 36606-2025 georefererad karta.tif", "A 36606-2025")</f>
        <v/>
      </c>
      <c r="Z55">
        <f>HYPERLINK("https://klasma.github.io/Logging_2104/klagomål/A 36606-2025 FSC-klagomål.docx", "A 36606-2025")</f>
        <v/>
      </c>
      <c r="AA55">
        <f>HYPERLINK("https://klasma.github.io/Logging_2104/klagomålsmail/A 36606-2025 FSC-klagomål mail.docx", "A 36606-2025")</f>
        <v/>
      </c>
      <c r="AB55">
        <f>HYPERLINK("https://klasma.github.io/Logging_2104/tillsyn/A 36606-2025 tillsynsbegäran.docx", "A 36606-2025")</f>
        <v/>
      </c>
      <c r="AC55">
        <f>HYPERLINK("https://klasma.github.io/Logging_2104/tillsynsmail/A 36606-2025 tillsynsbegäran mail.docx", "A 36606-2025")</f>
        <v/>
      </c>
    </row>
    <row r="56" ht="15" customHeight="1">
      <c r="A56" t="inlineStr">
        <is>
          <t>A 37012-2025</t>
        </is>
      </c>
      <c r="B56" t="inlineStr">
        <is>
          <t>avverkningsanmälan</t>
        </is>
      </c>
      <c r="C56" t="inlineStr">
        <is>
          <t>Föryngringsavverkning</t>
        </is>
      </c>
      <c r="D56" s="1" t="n">
        <v>45874</v>
      </c>
      <c r="E56" s="1" t="n">
        <v>46223</v>
      </c>
      <c r="F56" t="inlineStr">
        <is>
          <t>GÄVLEBORGS LÄN</t>
        </is>
      </c>
      <c r="G56" t="inlineStr">
        <is>
          <t>HOFORS</t>
        </is>
      </c>
      <c r="H56" t="inlineStr">
        <is>
          <t>Sveaskog</t>
        </is>
      </c>
      <c r="I56" t="n">
        <v>3.7</v>
      </c>
      <c r="J56" t="n">
        <v>0</v>
      </c>
      <c r="K56" t="n">
        <v>0</v>
      </c>
      <c r="L56" t="n">
        <v>1</v>
      </c>
      <c r="M56" t="n">
        <v>0</v>
      </c>
      <c r="N56" t="n">
        <v>0</v>
      </c>
      <c r="O56" t="n">
        <v>0</v>
      </c>
      <c r="P56" t="n">
        <v>0</v>
      </c>
      <c r="Q56" t="n">
        <v>1</v>
      </c>
      <c r="R56" t="n">
        <v>0</v>
      </c>
      <c r="S56" t="n">
        <v>1</v>
      </c>
      <c r="T56" t="n">
        <v>1</v>
      </c>
      <c r="U56" s="2" t="inlineStr">
        <is>
          <t>Motaggsvamp</t>
        </is>
      </c>
      <c r="V56">
        <f>HYPERLINK("https://klasma.github.io/Logging_2104/artfynd/A 37012-2025 artfynd.xlsx", "A 37012-2025")</f>
        <v/>
      </c>
      <c r="W56">
        <f>HYPERLINK("https://klasma.github.io/Logging_2104/kartor/A 37012-2025 karta.png", "A 37012-2025")</f>
        <v/>
      </c>
      <c r="X56">
        <f>HYPERLINK("https://klasma.github.io/Logging_2104/kartor_geotiff/A 37012-2025 georefererad karta.tif", "A 37012-2025")</f>
        <v/>
      </c>
      <c r="Z56">
        <f>HYPERLINK("https://klasma.github.io/Logging_2104/klagomål/A 37012-2025 FSC-klagomål.docx", "A 37012-2025")</f>
        <v/>
      </c>
      <c r="AA56">
        <f>HYPERLINK("https://klasma.github.io/Logging_2104/klagomålsmail/A 37012-2025 FSC-klagomål mail.docx", "A 37012-2025")</f>
        <v/>
      </c>
      <c r="AB56">
        <f>HYPERLINK("https://klasma.github.io/Logging_2104/tillsyn/A 37012-2025 tillsynsbegäran.docx", "A 37012-2025")</f>
        <v/>
      </c>
      <c r="AC56">
        <f>HYPERLINK("https://klasma.github.io/Logging_2104/tillsynsmail/A 37012-2025 tillsynsbegäran mail.docx", "A 37012-2025")</f>
        <v/>
      </c>
    </row>
    <row r="57" ht="15" customHeight="1">
      <c r="A57" t="inlineStr">
        <is>
          <t>A 37988-2025</t>
        </is>
      </c>
      <c r="B57" t="inlineStr">
        <is>
          <t>avverkningsanmälan</t>
        </is>
      </c>
      <c r="C57" t="inlineStr">
        <is>
          <t>Föryngringsavverkning</t>
        </is>
      </c>
      <c r="D57" s="1" t="n">
        <v>45881</v>
      </c>
      <c r="E57" s="1" t="n">
        <v>46223</v>
      </c>
      <c r="F57" t="inlineStr">
        <is>
          <t>GÄVLEBORGS LÄN</t>
        </is>
      </c>
      <c r="G57" t="inlineStr">
        <is>
          <t>HOFORS</t>
        </is>
      </c>
      <c r="H57" t="inlineStr">
        <is>
          <t>Sveaskog</t>
        </is>
      </c>
      <c r="I57" t="n">
        <v>5.7</v>
      </c>
      <c r="J57" t="n">
        <v>0</v>
      </c>
      <c r="K57" t="n">
        <v>0</v>
      </c>
      <c r="L57" t="n">
        <v>1</v>
      </c>
      <c r="M57" t="n">
        <v>0</v>
      </c>
      <c r="N57" t="n">
        <v>0</v>
      </c>
      <c r="O57" t="n">
        <v>0</v>
      </c>
      <c r="P57" t="n">
        <v>0</v>
      </c>
      <c r="Q57" t="n">
        <v>1</v>
      </c>
      <c r="R57" t="n">
        <v>0</v>
      </c>
      <c r="S57" t="n">
        <v>1</v>
      </c>
      <c r="T57" t="n">
        <v>1</v>
      </c>
      <c r="U57" s="2" t="inlineStr">
        <is>
          <t>Backruta</t>
        </is>
      </c>
      <c r="V57">
        <f>HYPERLINK("https://klasma.github.io/Logging_2104/artfynd/A 37988-2025 artfynd.xlsx", "A 37988-2025")</f>
        <v/>
      </c>
      <c r="W57">
        <f>HYPERLINK("https://klasma.github.io/Logging_2104/kartor/A 37988-2025 karta.png", "A 37988-2025")</f>
        <v/>
      </c>
      <c r="X57">
        <f>HYPERLINK("https://klasma.github.io/Logging_2104/kartor_geotiff/A 37988-2025 georefererad karta.tif", "A 37988-2025")</f>
        <v/>
      </c>
      <c r="Z57">
        <f>HYPERLINK("https://klasma.github.io/Logging_2104/klagomål/A 37988-2025 FSC-klagomål.docx", "A 37988-2025")</f>
        <v/>
      </c>
      <c r="AA57">
        <f>HYPERLINK("https://klasma.github.io/Logging_2104/klagomålsmail/A 37988-2025 FSC-klagomål mail.docx", "A 37988-2025")</f>
        <v/>
      </c>
      <c r="AB57">
        <f>HYPERLINK("https://klasma.github.io/Logging_2104/tillsyn/A 37988-2025 tillsynsbegäran.docx", "A 37988-2025")</f>
        <v/>
      </c>
      <c r="AC57">
        <f>HYPERLINK("https://klasma.github.io/Logging_2104/tillsynsmail/A 37988-2025 tillsynsbegäran mail.docx", "A 37988-2025")</f>
        <v/>
      </c>
    </row>
    <row r="58" ht="15" customHeight="1">
      <c r="A58" t="inlineStr">
        <is>
          <t>A 28397-2024</t>
        </is>
      </c>
      <c r="B58" t="inlineStr">
        <is>
          <t>avverkningsanmälan</t>
        </is>
      </c>
      <c r="C58" t="inlineStr">
        <is>
          <t>Föryngringsavverkning</t>
        </is>
      </c>
      <c r="D58" s="1" t="n">
        <v>45477</v>
      </c>
      <c r="E58" s="1" t="n">
        <v>46223</v>
      </c>
      <c r="F58" t="inlineStr">
        <is>
          <t>GÄVLEBORGS LÄN</t>
        </is>
      </c>
      <c r="G58" t="inlineStr">
        <is>
          <t>HOFORS</t>
        </is>
      </c>
      <c r="H58" t="inlineStr">
        <is>
          <t>Sveaskog</t>
        </is>
      </c>
      <c r="I58" t="n">
        <v>5</v>
      </c>
      <c r="J58" t="n">
        <v>1</v>
      </c>
      <c r="K58" t="n">
        <v>0</v>
      </c>
      <c r="L58" t="n">
        <v>0</v>
      </c>
      <c r="M58" t="n">
        <v>0</v>
      </c>
      <c r="N58" t="n">
        <v>0</v>
      </c>
      <c r="O58" t="n">
        <v>0</v>
      </c>
      <c r="P58" t="n">
        <v>0</v>
      </c>
      <c r="Q58" t="n">
        <v>0</v>
      </c>
      <c r="R58" t="n">
        <v>0</v>
      </c>
      <c r="S58" t="n">
        <v>1</v>
      </c>
      <c r="T58" t="n">
        <v>1</v>
      </c>
      <c r="U58" s="2" t="inlineStr">
        <is>
          <t>Fläcknycklar</t>
        </is>
      </c>
      <c r="V58">
        <f>HYPERLINK("https://klasma.github.io/Logging_2104/artfynd/A 28397-2024 artfynd.xlsx", "A 28397-2024")</f>
        <v/>
      </c>
      <c r="W58">
        <f>HYPERLINK("https://klasma.github.io/Logging_2104/kartor/A 28397-2024 karta.png", "A 28397-2024")</f>
        <v/>
      </c>
      <c r="X58">
        <f>HYPERLINK("https://klasma.github.io/Logging_2104/kartor_geotiff/A 28397-2024 georefererad karta.tif", "A 28397-2024")</f>
        <v/>
      </c>
      <c r="Z58">
        <f>HYPERLINK("https://klasma.github.io/Logging_2104/klagomål/A 28397-2024 FSC-klagomål.docx", "A 28397-2024")</f>
        <v/>
      </c>
      <c r="AA58">
        <f>HYPERLINK("https://klasma.github.io/Logging_2104/klagomålsmail/A 28397-2024 FSC-klagomål mail.docx", "A 28397-2024")</f>
        <v/>
      </c>
      <c r="AB58">
        <f>HYPERLINK("https://klasma.github.io/Logging_2104/tillsyn/A 28397-2024 tillsynsbegäran.docx", "A 28397-2024")</f>
        <v/>
      </c>
      <c r="AC58">
        <f>HYPERLINK("https://klasma.github.io/Logging_2104/tillsynsmail/A 28397-2024 tillsynsbegäran mail.docx", "A 28397-2024")</f>
        <v/>
      </c>
    </row>
    <row r="59" ht="15" customHeight="1">
      <c r="A59" t="inlineStr">
        <is>
          <t>A 36278-2024</t>
        </is>
      </c>
      <c r="B59" t="inlineStr">
        <is>
          <t>avverkningsanmälan</t>
        </is>
      </c>
      <c r="C59" t="inlineStr">
        <is>
          <t>Föryngringsavverkning</t>
        </is>
      </c>
      <c r="D59" s="1" t="n">
        <v>45534</v>
      </c>
      <c r="E59" s="1" t="n">
        <v>46223</v>
      </c>
      <c r="F59" t="inlineStr">
        <is>
          <t>GÄVLEBORGS LÄN</t>
        </is>
      </c>
      <c r="G59" t="inlineStr">
        <is>
          <t>HOFORS</t>
        </is>
      </c>
      <c r="H59" t="inlineStr">
        <is>
          <t>Sveaskog</t>
        </is>
      </c>
      <c r="I59" t="n">
        <v>8.699999999999999</v>
      </c>
      <c r="J59" t="n">
        <v>1</v>
      </c>
      <c r="K59" t="n">
        <v>0</v>
      </c>
      <c r="L59" t="n">
        <v>0</v>
      </c>
      <c r="M59" t="n">
        <v>0</v>
      </c>
      <c r="N59" t="n">
        <v>0</v>
      </c>
      <c r="O59" t="n">
        <v>0</v>
      </c>
      <c r="P59" t="n">
        <v>0</v>
      </c>
      <c r="Q59" t="n">
        <v>0</v>
      </c>
      <c r="R59" t="n">
        <v>0</v>
      </c>
      <c r="S59" t="n">
        <v>1</v>
      </c>
      <c r="T59" t="n">
        <v>1</v>
      </c>
      <c r="U59" s="2" t="inlineStr">
        <is>
          <t>Tjäder</t>
        </is>
      </c>
      <c r="V59">
        <f>HYPERLINK("https://klasma.github.io/Logging_2104/artfynd/A 36278-2024 artfynd.xlsx", "A 36278-2024")</f>
        <v/>
      </c>
      <c r="W59">
        <f>HYPERLINK("https://klasma.github.io/Logging_2104/kartor/A 36278-2024 karta.png", "A 36278-2024")</f>
        <v/>
      </c>
      <c r="X59">
        <f>HYPERLINK("https://klasma.github.io/Logging_2104/kartor_geotiff/A 36278-2024 georefererad karta.tif", "A 36278-2024")</f>
        <v/>
      </c>
      <c r="Z59">
        <f>HYPERLINK("https://klasma.github.io/Logging_2104/klagomål/A 36278-2024 FSC-klagomål.docx", "A 36278-2024")</f>
        <v/>
      </c>
      <c r="AA59">
        <f>HYPERLINK("https://klasma.github.io/Logging_2104/klagomålsmail/A 36278-2024 FSC-klagomål mail.docx", "A 36278-2024")</f>
        <v/>
      </c>
      <c r="AB59">
        <f>HYPERLINK("https://klasma.github.io/Logging_2104/tillsyn/A 36278-2024 tillsynsbegäran.docx", "A 36278-2024")</f>
        <v/>
      </c>
      <c r="AC59">
        <f>HYPERLINK("https://klasma.github.io/Logging_2104/tillsynsmail/A 36278-2024 tillsynsbegäran mail.docx", "A 36278-2024")</f>
        <v/>
      </c>
      <c r="AD59">
        <f>HYPERLINK("https://klasma.github.io/Logging_2104/fåglar/A 36278-2024 prioriterade fågelarter.docx", "A 36278-2024")</f>
        <v/>
      </c>
    </row>
    <row r="60" ht="15" customHeight="1">
      <c r="A60" t="inlineStr">
        <is>
          <t>A 46058-2025</t>
        </is>
      </c>
      <c r="B60" t="inlineStr">
        <is>
          <t>avverkningsanmälan</t>
        </is>
      </c>
      <c r="C60" t="inlineStr">
        <is>
          <t>Föryngringsavverkning</t>
        </is>
      </c>
      <c r="D60" s="1" t="n">
        <v>45924</v>
      </c>
      <c r="E60" s="1" t="n">
        <v>46223</v>
      </c>
      <c r="F60" t="inlineStr">
        <is>
          <t>GÄVLEBORGS LÄN</t>
        </is>
      </c>
      <c r="G60" t="inlineStr">
        <is>
          <t>HOFORS</t>
        </is>
      </c>
      <c r="H60" t="inlineStr">
        <is>
          <t>Övriga statliga verk och myndigheter</t>
        </is>
      </c>
      <c r="I60" t="n">
        <v>1.6</v>
      </c>
      <c r="J60" t="n">
        <v>0</v>
      </c>
      <c r="K60" t="n">
        <v>0</v>
      </c>
      <c r="L60" t="n">
        <v>1</v>
      </c>
      <c r="M60" t="n">
        <v>0</v>
      </c>
      <c r="N60" t="n">
        <v>0</v>
      </c>
      <c r="O60" t="n">
        <v>0</v>
      </c>
      <c r="P60" t="n">
        <v>0</v>
      </c>
      <c r="Q60" t="n">
        <v>1</v>
      </c>
      <c r="R60" t="n">
        <v>0</v>
      </c>
      <c r="S60" t="n">
        <v>1</v>
      </c>
      <c r="T60" t="n">
        <v>2</v>
      </c>
      <c r="U60" s="2" t="inlineStr">
        <is>
          <t>Skarp dropptaggsvamp</t>
        </is>
      </c>
      <c r="V60">
        <f>HYPERLINK("https://klasma.github.io/Logging_2104/artfynd/A 46058-2025 artfynd.xlsx", "A 46058-2025")</f>
        <v/>
      </c>
      <c r="W60">
        <f>HYPERLINK("https://klasma.github.io/Logging_2104/kartor/A 46058-2025 karta.png", "A 46058-2025")</f>
        <v/>
      </c>
      <c r="X60">
        <f>HYPERLINK("https://klasma.github.io/Logging_2104/kartor_geotiff/A 46058-2025 georefererad karta.tif", "A 46058-2025")</f>
        <v/>
      </c>
      <c r="Z60">
        <f>HYPERLINK("https://klasma.github.io/Logging_2104/klagomål/A 46058-2025 FSC-klagomål.docx", "A 46058-2025")</f>
        <v/>
      </c>
      <c r="AA60">
        <f>HYPERLINK("https://klasma.github.io/Logging_2104/klagomålsmail/A 46058-2025 FSC-klagomål mail.docx", "A 46058-2025")</f>
        <v/>
      </c>
      <c r="AB60">
        <f>HYPERLINK("https://klasma.github.io/Logging_2104/tillsyn/A 46058-2025 tillsynsbegäran.docx", "A 46058-2025")</f>
        <v/>
      </c>
      <c r="AC60">
        <f>HYPERLINK("https://klasma.github.io/Logging_2104/tillsynsmail/A 46058-2025 tillsynsbegäran mail.docx", "A 46058-2025")</f>
        <v/>
      </c>
    </row>
    <row r="61" ht="15" customHeight="1">
      <c r="A61" t="inlineStr">
        <is>
          <t>A 12780-2026</t>
        </is>
      </c>
      <c r="B61" t="inlineStr">
        <is>
          <t>avverkningsanmälan</t>
        </is>
      </c>
      <c r="C61" t="inlineStr">
        <is>
          <t>Föryngringsavverkning</t>
        </is>
      </c>
      <c r="D61" s="1" t="n">
        <v>46091</v>
      </c>
      <c r="E61" s="1" t="n">
        <v>46223</v>
      </c>
      <c r="F61" t="inlineStr">
        <is>
          <t>GÄVLEBORGS LÄN</t>
        </is>
      </c>
      <c r="G61" t="inlineStr">
        <is>
          <t>HOFORS</t>
        </is>
      </c>
      <c r="I61" t="n">
        <v>2.9</v>
      </c>
      <c r="J61" t="n">
        <v>1</v>
      </c>
      <c r="K61" t="n">
        <v>0</v>
      </c>
      <c r="L61" t="n">
        <v>0</v>
      </c>
      <c r="M61" t="n">
        <v>0</v>
      </c>
      <c r="N61" t="n">
        <v>0</v>
      </c>
      <c r="O61" t="n">
        <v>0</v>
      </c>
      <c r="P61" t="n">
        <v>0</v>
      </c>
      <c r="Q61" t="n">
        <v>0</v>
      </c>
      <c r="R61" t="n">
        <v>0</v>
      </c>
      <c r="S61" t="n">
        <v>1</v>
      </c>
      <c r="T61" t="n">
        <v>8</v>
      </c>
      <c r="U61" s="2" t="inlineStr">
        <is>
          <t>Tjäder</t>
        </is>
      </c>
      <c r="V61">
        <f>HYPERLINK("https://klasma.github.io/Logging_2104/artfynd/A 12780-2026 artfynd.xlsx", "A 12780-2026")</f>
        <v/>
      </c>
      <c r="W61">
        <f>HYPERLINK("https://klasma.github.io/Logging_2104/kartor/A 12780-2026 karta.png", "A 12780-2026")</f>
        <v/>
      </c>
      <c r="X61">
        <f>HYPERLINK("https://klasma.github.io/Logging_2104/kartor_geotiff/A 12780-2026 georefererad karta.tif", "A 12780-2026")</f>
        <v/>
      </c>
      <c r="Z61">
        <f>HYPERLINK("https://klasma.github.io/Logging_2104/klagomål/A 12780-2026 FSC-klagomål.docx", "A 12780-2026")</f>
        <v/>
      </c>
      <c r="AA61">
        <f>HYPERLINK("https://klasma.github.io/Logging_2104/klagomålsmail/A 12780-2026 FSC-klagomål mail.docx", "A 12780-2026")</f>
        <v/>
      </c>
      <c r="AB61">
        <f>HYPERLINK("https://klasma.github.io/Logging_2104/tillsyn/A 12780-2026 tillsynsbegäran.docx", "A 12780-2026")</f>
        <v/>
      </c>
      <c r="AC61">
        <f>HYPERLINK("https://klasma.github.io/Logging_2104/tillsynsmail/A 12780-2026 tillsynsbegäran mail.docx", "A 12780-2026")</f>
        <v/>
      </c>
      <c r="AD61">
        <f>HYPERLINK("https://klasma.github.io/Logging_2104/fåglar/A 12780-2026 prioriterade fågelarter.docx", "A 12780-2026")</f>
        <v/>
      </c>
    </row>
    <row r="62" ht="15" customHeight="1">
      <c r="A62" t="inlineStr">
        <is>
          <t>A 54828-2021</t>
        </is>
      </c>
      <c r="B62" t="inlineStr">
        <is>
          <t>avverkningsanmälan</t>
        </is>
      </c>
      <c r="C62" t="inlineStr">
        <is>
          <t>Avverkning för att bevara och utveckla /försöksver</t>
        </is>
      </c>
      <c r="D62" s="1" t="n">
        <v>44473</v>
      </c>
      <c r="E62" s="1" t="n">
        <v>46223</v>
      </c>
      <c r="F62" t="inlineStr">
        <is>
          <t>GÄVLEBORGS LÄN</t>
        </is>
      </c>
      <c r="G62" t="inlineStr">
        <is>
          <t>HOFORS</t>
        </is>
      </c>
      <c r="H62" t="inlineStr">
        <is>
          <t>Bergvik skog väst AB</t>
        </is>
      </c>
      <c r="I62" t="n">
        <v>5.1</v>
      </c>
      <c r="J62" t="n">
        <v>1</v>
      </c>
      <c r="K62" t="n">
        <v>0</v>
      </c>
      <c r="L62" t="n">
        <v>0</v>
      </c>
      <c r="M62" t="n">
        <v>1</v>
      </c>
      <c r="N62" t="n">
        <v>0</v>
      </c>
      <c r="O62" t="n">
        <v>0</v>
      </c>
      <c r="P62" t="n">
        <v>0</v>
      </c>
      <c r="Q62" t="n">
        <v>1</v>
      </c>
      <c r="R62" t="n">
        <v>1</v>
      </c>
      <c r="S62" t="n">
        <v>1</v>
      </c>
      <c r="T62" t="n">
        <v>64</v>
      </c>
      <c r="U62" s="2" t="inlineStr">
        <is>
          <t>Knärot</t>
        </is>
      </c>
      <c r="V62">
        <f>HYPERLINK("https://klasma.github.io/Logging_2104/artfynd/A 54828-2021 artfynd.xlsx", "A 54828-2021")</f>
        <v/>
      </c>
      <c r="W62">
        <f>HYPERLINK("https://klasma.github.io/Logging_2104/kartor/A 54828-2021 karta.png", "A 54828-2021")</f>
        <v/>
      </c>
      <c r="X62">
        <f>HYPERLINK("https://klasma.github.io/Logging_2104/kartor_geotiff/A 54828-2021 georefererad karta.tif", "A 54828-2021")</f>
        <v/>
      </c>
      <c r="Y62">
        <f>HYPERLINK("https://klasma.github.io/Logging_2104/knärot/A 54828-2021 karta knärot.png", "A 54828-2021")</f>
        <v/>
      </c>
      <c r="Z62">
        <f>HYPERLINK("https://klasma.github.io/Logging_2104/klagomål/A 54828-2021 FSC-klagomål.docx", "A 54828-2021")</f>
        <v/>
      </c>
      <c r="AA62">
        <f>HYPERLINK("https://klasma.github.io/Logging_2104/klagomålsmail/A 54828-2021 FSC-klagomål mail.docx", "A 54828-2021")</f>
        <v/>
      </c>
      <c r="AB62">
        <f>HYPERLINK("https://klasma.github.io/Logging_2104/tillsyn/A 54828-2021 tillsynsbegäran.docx", "A 54828-2021")</f>
        <v/>
      </c>
      <c r="AC62">
        <f>HYPERLINK("https://klasma.github.io/Logging_2104/tillsynsmail/A 54828-2021 tillsynsbegäran mail.docx", "A 54828-2021")</f>
        <v/>
      </c>
    </row>
    <row r="63" ht="15" customHeight="1">
      <c r="A63" t="inlineStr">
        <is>
          <t>A 35521-2024</t>
        </is>
      </c>
      <c r="B63" t="inlineStr">
        <is>
          <t>avverkningsanmälan</t>
        </is>
      </c>
      <c r="C63" t="inlineStr">
        <is>
          <t>Föryngringsavverkning</t>
        </is>
      </c>
      <c r="D63" s="1" t="n">
        <v>45531</v>
      </c>
      <c r="E63" s="1" t="n">
        <v>46223</v>
      </c>
      <c r="F63" t="inlineStr">
        <is>
          <t>GÄVLEBORGS LÄN</t>
        </is>
      </c>
      <c r="G63" t="inlineStr">
        <is>
          <t>HOFORS</t>
        </is>
      </c>
      <c r="H63" t="inlineStr">
        <is>
          <t>Sveaskog</t>
        </is>
      </c>
      <c r="I63" t="n">
        <v>1.3</v>
      </c>
      <c r="J63" t="n">
        <v>1</v>
      </c>
      <c r="K63" t="n">
        <v>0</v>
      </c>
      <c r="L63" t="n">
        <v>0</v>
      </c>
      <c r="M63" t="n">
        <v>0</v>
      </c>
      <c r="N63" t="n">
        <v>0</v>
      </c>
      <c r="O63" t="n">
        <v>0</v>
      </c>
      <c r="P63" t="n">
        <v>0</v>
      </c>
      <c r="Q63" t="n">
        <v>0</v>
      </c>
      <c r="R63" t="n">
        <v>0</v>
      </c>
      <c r="S63" t="n">
        <v>1</v>
      </c>
      <c r="T63" t="n">
        <v>1</v>
      </c>
      <c r="U63" s="2" t="inlineStr">
        <is>
          <t>Revlummer</t>
        </is>
      </c>
      <c r="V63">
        <f>HYPERLINK("https://klasma.github.io/Logging_2104/artfynd/A 35521-2024 artfynd.xlsx", "A 35521-2024")</f>
        <v/>
      </c>
      <c r="W63">
        <f>HYPERLINK("https://klasma.github.io/Logging_2104/kartor/A 35521-2024 karta.png", "A 35521-2024")</f>
        <v/>
      </c>
      <c r="X63">
        <f>HYPERLINK("https://klasma.github.io/Logging_2104/kartor_geotiff/A 35521-2024 georefererad karta.tif", "A 35521-2024")</f>
        <v/>
      </c>
      <c r="Z63">
        <f>HYPERLINK("https://klasma.github.io/Logging_2104/klagomål/A 35521-2024 FSC-klagomål.docx", "A 35521-2024")</f>
        <v/>
      </c>
      <c r="AA63">
        <f>HYPERLINK("https://klasma.github.io/Logging_2104/klagomålsmail/A 35521-2024 FSC-klagomål mail.docx", "A 35521-2024")</f>
        <v/>
      </c>
      <c r="AB63">
        <f>HYPERLINK("https://klasma.github.io/Logging_2104/tillsyn/A 35521-2024 tillsynsbegäran.docx", "A 35521-2024")</f>
        <v/>
      </c>
      <c r="AC63">
        <f>HYPERLINK("https://klasma.github.io/Logging_2104/tillsynsmail/A 35521-2024 tillsynsbegäran mail.docx", "A 35521-2024")</f>
        <v/>
      </c>
    </row>
    <row r="64" ht="15" customHeight="1">
      <c r="A64" t="inlineStr">
        <is>
          <t>A 49815-2024</t>
        </is>
      </c>
      <c r="B64" t="inlineStr">
        <is>
          <t>avverkningsanmälan</t>
        </is>
      </c>
      <c r="C64" t="inlineStr">
        <is>
          <t>Föryngringsavverkning</t>
        </is>
      </c>
      <c r="D64" s="1" t="n">
        <v>45597</v>
      </c>
      <c r="E64" s="1" t="n">
        <v>46223</v>
      </c>
      <c r="F64" t="inlineStr">
        <is>
          <t>GÄVLEBORGS LÄN</t>
        </is>
      </c>
      <c r="G64" t="inlineStr">
        <is>
          <t>HOFORS</t>
        </is>
      </c>
      <c r="I64" t="n">
        <v>0.9</v>
      </c>
      <c r="J64" t="n">
        <v>0</v>
      </c>
      <c r="K64" t="n">
        <v>0</v>
      </c>
      <c r="L64" t="n">
        <v>1</v>
      </c>
      <c r="M64" t="n">
        <v>0</v>
      </c>
      <c r="N64" t="n">
        <v>0</v>
      </c>
      <c r="O64" t="n">
        <v>0</v>
      </c>
      <c r="P64" t="n">
        <v>0</v>
      </c>
      <c r="Q64" t="n">
        <v>1</v>
      </c>
      <c r="R64" t="n">
        <v>0</v>
      </c>
      <c r="S64" t="n">
        <v>1</v>
      </c>
      <c r="T64" t="n">
        <v>1</v>
      </c>
      <c r="U64" s="2" t="inlineStr">
        <is>
          <t>Brunklöver</t>
        </is>
      </c>
      <c r="V64">
        <f>HYPERLINK("https://klasma.github.io/Logging_2104/artfynd/A 49815-2024 artfynd.xlsx", "A 49815-2024")</f>
        <v/>
      </c>
      <c r="W64">
        <f>HYPERLINK("https://klasma.github.io/Logging_2104/kartor/A 49815-2024 karta.png", "A 49815-2024")</f>
        <v/>
      </c>
      <c r="X64">
        <f>HYPERLINK("https://klasma.github.io/Logging_2104/kartor_geotiff/A 49815-2024 georefererad karta.tif", "A 49815-2024")</f>
        <v/>
      </c>
      <c r="Z64">
        <f>HYPERLINK("https://klasma.github.io/Logging_2104/klagomål/A 49815-2024 FSC-klagomål.docx", "A 49815-2024")</f>
        <v/>
      </c>
      <c r="AA64">
        <f>HYPERLINK("https://klasma.github.io/Logging_2104/klagomålsmail/A 49815-2024 FSC-klagomål mail.docx", "A 49815-2024")</f>
        <v/>
      </c>
      <c r="AB64">
        <f>HYPERLINK("https://klasma.github.io/Logging_2104/tillsyn/A 49815-2024 tillsynsbegäran.docx", "A 49815-2024")</f>
        <v/>
      </c>
      <c r="AC64">
        <f>HYPERLINK("https://klasma.github.io/Logging_2104/tillsynsmail/A 49815-2024 tillsynsbegäran mail.docx", "A 49815-2024")</f>
        <v/>
      </c>
    </row>
    <row r="65" ht="15" customHeight="1">
      <c r="A65" t="inlineStr">
        <is>
          <t>A 10587-2022</t>
        </is>
      </c>
      <c r="B65" t="inlineStr">
        <is>
          <t>avverkningsanmälan</t>
        </is>
      </c>
      <c r="C65" t="inlineStr">
        <is>
          <t>Föryngringsavverkning</t>
        </is>
      </c>
      <c r="D65" s="1" t="n">
        <v>44624</v>
      </c>
      <c r="E65" s="1" t="n">
        <v>46223</v>
      </c>
      <c r="F65" t="inlineStr">
        <is>
          <t>GÄVLEBORGS LÄN</t>
        </is>
      </c>
      <c r="G65" t="inlineStr">
        <is>
          <t>HOFORS</t>
        </is>
      </c>
      <c r="I65" t="n">
        <v>5</v>
      </c>
      <c r="J65" t="n">
        <v>1</v>
      </c>
      <c r="K65" t="n">
        <v>0</v>
      </c>
      <c r="L65" t="n">
        <v>0</v>
      </c>
      <c r="M65" t="n">
        <v>0</v>
      </c>
      <c r="N65" t="n">
        <v>0</v>
      </c>
      <c r="O65" t="n">
        <v>0</v>
      </c>
      <c r="P65" t="n">
        <v>0</v>
      </c>
      <c r="Q65" t="n">
        <v>0</v>
      </c>
      <c r="R65" t="n">
        <v>0</v>
      </c>
      <c r="S65" t="n">
        <v>1</v>
      </c>
      <c r="T65" t="n">
        <v>4</v>
      </c>
      <c r="U65" s="2" t="inlineStr">
        <is>
          <t>Fläcknycklar</t>
        </is>
      </c>
      <c r="V65">
        <f>HYPERLINK("https://klasma.github.io/Logging_2104/artfynd/A 10587-2022 artfynd.xlsx", "A 10587-2022")</f>
        <v/>
      </c>
      <c r="W65">
        <f>HYPERLINK("https://klasma.github.io/Logging_2104/kartor/A 10587-2022 karta.png", "A 10587-2022")</f>
        <v/>
      </c>
      <c r="X65">
        <f>HYPERLINK("https://klasma.github.io/Logging_2104/kartor_geotiff/A 10587-2022 georefererad karta.tif", "A 10587-2022")</f>
        <v/>
      </c>
      <c r="Z65">
        <f>HYPERLINK("https://klasma.github.io/Logging_2104/klagomål/A 10587-2022 FSC-klagomål.docx", "A 10587-2022")</f>
        <v/>
      </c>
      <c r="AA65">
        <f>HYPERLINK("https://klasma.github.io/Logging_2104/klagomålsmail/A 10587-2022 FSC-klagomål mail.docx", "A 10587-2022")</f>
        <v/>
      </c>
      <c r="AB65">
        <f>HYPERLINK("https://klasma.github.io/Logging_2104/tillsyn/A 10587-2022 tillsynsbegäran.docx", "A 10587-2022")</f>
        <v/>
      </c>
      <c r="AC65">
        <f>HYPERLINK("https://klasma.github.io/Logging_2104/tillsynsmail/A 10587-2022 tillsynsbegäran mail.docx", "A 10587-2022")</f>
        <v/>
      </c>
    </row>
    <row r="66" ht="15" customHeight="1">
      <c r="A66" t="inlineStr">
        <is>
          <t>A 45965-2025</t>
        </is>
      </c>
      <c r="B66" t="inlineStr">
        <is>
          <t>avverkningsanmälan</t>
        </is>
      </c>
      <c r="C66" t="inlineStr">
        <is>
          <t>Föryngringsavverkning</t>
        </is>
      </c>
      <c r="D66" s="1" t="n">
        <v>45924</v>
      </c>
      <c r="E66" s="1" t="n">
        <v>46223</v>
      </c>
      <c r="F66" t="inlineStr">
        <is>
          <t>GÄVLEBORGS LÄN</t>
        </is>
      </c>
      <c r="G66" t="inlineStr">
        <is>
          <t>HOFORS</t>
        </is>
      </c>
      <c r="H66" t="inlineStr">
        <is>
          <t>Sveaskog</t>
        </is>
      </c>
      <c r="I66" t="n">
        <v>5.8</v>
      </c>
      <c r="J66" t="n">
        <v>1</v>
      </c>
      <c r="K66" t="n">
        <v>0</v>
      </c>
      <c r="L66" t="n">
        <v>0</v>
      </c>
      <c r="M66" t="n">
        <v>0</v>
      </c>
      <c r="N66" t="n">
        <v>0</v>
      </c>
      <c r="O66" t="n">
        <v>0</v>
      </c>
      <c r="P66" t="n">
        <v>0</v>
      </c>
      <c r="Q66" t="n">
        <v>0</v>
      </c>
      <c r="R66" t="n">
        <v>0</v>
      </c>
      <c r="S66" t="n">
        <v>1</v>
      </c>
      <c r="T66" t="n">
        <v>1</v>
      </c>
      <c r="U66" s="2" t="inlineStr">
        <is>
          <t>Orre</t>
        </is>
      </c>
      <c r="V66">
        <f>HYPERLINK("https://klasma.github.io/Logging_2104/artfynd/A 45965-2025 artfynd.xlsx", "A 45965-2025")</f>
        <v/>
      </c>
      <c r="W66">
        <f>HYPERLINK("https://klasma.github.io/Logging_2104/kartor/A 45965-2025 karta.png", "A 45965-2025")</f>
        <v/>
      </c>
      <c r="X66">
        <f>HYPERLINK("https://klasma.github.io/Logging_2104/kartor_geotiff/A 45965-2025 georefererad karta.tif", "A 45965-2025")</f>
        <v/>
      </c>
      <c r="Z66">
        <f>HYPERLINK("https://klasma.github.io/Logging_2104/klagomål/A 45965-2025 FSC-klagomål.docx", "A 45965-2025")</f>
        <v/>
      </c>
      <c r="AA66">
        <f>HYPERLINK("https://klasma.github.io/Logging_2104/klagomålsmail/A 45965-2025 FSC-klagomål mail.docx", "A 45965-2025")</f>
        <v/>
      </c>
      <c r="AB66">
        <f>HYPERLINK("https://klasma.github.io/Logging_2104/tillsyn/A 45965-2025 tillsynsbegäran.docx", "A 45965-2025")</f>
        <v/>
      </c>
      <c r="AC66">
        <f>HYPERLINK("https://klasma.github.io/Logging_2104/tillsynsmail/A 45965-2025 tillsynsbegäran mail.docx", "A 45965-2025")</f>
        <v/>
      </c>
      <c r="AD66">
        <f>HYPERLINK("https://klasma.github.io/Logging_2104/fåglar/A 45965-2025 prioriterade fågelarter.docx", "A 45965-2025")</f>
        <v/>
      </c>
    </row>
    <row r="67" ht="15" customHeight="1">
      <c r="A67" t="inlineStr">
        <is>
          <t>A 26513-2026</t>
        </is>
      </c>
      <c r="B67" t="inlineStr">
        <is>
          <t>avverkningsanmälan</t>
        </is>
      </c>
      <c r="C67" t="inlineStr">
        <is>
          <t>Föryngringsavverkning</t>
        </is>
      </c>
      <c r="D67" s="1" t="n">
        <v>46183</v>
      </c>
      <c r="E67" s="1" t="n">
        <v>46223</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s="2" t="inlineStr">
        <is>
          <t>Tibast</t>
        </is>
      </c>
      <c r="V67">
        <f>HYPERLINK("https://klasma.github.io/Logging_2104/artfynd/A 26513-2026 artfynd.xlsx", "A 26513-2026")</f>
        <v/>
      </c>
      <c r="W67">
        <f>HYPERLINK("https://klasma.github.io/Logging_2104/kartor/A 26513-2026 karta.png", "A 26513-2026")</f>
        <v/>
      </c>
      <c r="X67">
        <f>HYPERLINK("https://klasma.github.io/Logging_2104/kartor_geotiff/A 26513-2026 georefererad karta.tif", "A 26513-2026")</f>
        <v/>
      </c>
      <c r="Z67">
        <f>HYPERLINK("https://klasma.github.io/Logging_2104/klagomål/A 26513-2026 FSC-klagomål.docx", "A 26513-2026")</f>
        <v/>
      </c>
      <c r="AA67">
        <f>HYPERLINK("https://klasma.github.io/Logging_2104/klagomålsmail/A 26513-2026 FSC-klagomål mail.docx", "A 26513-2026")</f>
        <v/>
      </c>
      <c r="AB67">
        <f>HYPERLINK("https://klasma.github.io/Logging_2104/tillsyn/A 26513-2026 tillsynsbegäran.docx", "A 26513-2026")</f>
        <v/>
      </c>
      <c r="AC67">
        <f>HYPERLINK("https://klasma.github.io/Logging_2104/tillsynsmail/A 26513-2026 tillsynsbegäran mail.docx", "A 26513-2026")</f>
        <v/>
      </c>
    </row>
    <row r="68" ht="15" customHeight="1">
      <c r="A68" t="inlineStr">
        <is>
          <t>A 28392-2024</t>
        </is>
      </c>
      <c r="B68" t="inlineStr">
        <is>
          <t>avverkningsanmälan</t>
        </is>
      </c>
      <c r="C68" t="inlineStr">
        <is>
          <t>Föryngringsavverkning</t>
        </is>
      </c>
      <c r="D68" s="1" t="n">
        <v>45477</v>
      </c>
      <c r="E68" s="1" t="n">
        <v>46223</v>
      </c>
      <c r="F68" t="inlineStr">
        <is>
          <t>GÄVLEBORGS LÄN</t>
        </is>
      </c>
      <c r="G68" t="inlineStr">
        <is>
          <t>HOFORS</t>
        </is>
      </c>
      <c r="H68" t="inlineStr">
        <is>
          <t>Sveaskog</t>
        </is>
      </c>
      <c r="I68" t="n">
        <v>0.5</v>
      </c>
      <c r="J68" t="n">
        <v>1</v>
      </c>
      <c r="K68" t="n">
        <v>0</v>
      </c>
      <c r="L68" t="n">
        <v>0</v>
      </c>
      <c r="M68" t="n">
        <v>0</v>
      </c>
      <c r="N68" t="n">
        <v>0</v>
      </c>
      <c r="O68" t="n">
        <v>0</v>
      </c>
      <c r="P68" t="n">
        <v>0</v>
      </c>
      <c r="Q68" t="n">
        <v>0</v>
      </c>
      <c r="R68" t="n">
        <v>0</v>
      </c>
      <c r="S68" t="n">
        <v>1</v>
      </c>
      <c r="T68" t="n">
        <v>2</v>
      </c>
      <c r="U68" s="2" t="inlineStr">
        <is>
          <t>Fläcknycklar</t>
        </is>
      </c>
      <c r="V68">
        <f>HYPERLINK("https://klasma.github.io/Logging_2104/artfynd/A 28392-2024 artfynd.xlsx", "A 28392-2024")</f>
        <v/>
      </c>
      <c r="W68">
        <f>HYPERLINK("https://klasma.github.io/Logging_2104/kartor/A 28392-2024 karta.png", "A 28392-2024")</f>
        <v/>
      </c>
      <c r="X68">
        <f>HYPERLINK("https://klasma.github.io/Logging_2104/kartor_geotiff/A 28392-2024 georefererad karta.tif", "A 28392-2024")</f>
        <v/>
      </c>
      <c r="Z68">
        <f>HYPERLINK("https://klasma.github.io/Logging_2104/klagomål/A 28392-2024 FSC-klagomål.docx", "A 28392-2024")</f>
        <v/>
      </c>
      <c r="AA68">
        <f>HYPERLINK("https://klasma.github.io/Logging_2104/klagomålsmail/A 28392-2024 FSC-klagomål mail.docx", "A 28392-2024")</f>
        <v/>
      </c>
      <c r="AB68">
        <f>HYPERLINK("https://klasma.github.io/Logging_2104/tillsyn/A 28392-2024 tillsynsbegäran.docx", "A 28392-2024")</f>
        <v/>
      </c>
      <c r="AC68">
        <f>HYPERLINK("https://klasma.github.io/Logging_2104/tillsynsmail/A 28392-2024 tillsynsbegäran mail.docx", "A 28392-2024")</f>
        <v/>
      </c>
    </row>
    <row r="69" ht="15" customHeight="1">
      <c r="A69" t="inlineStr">
        <is>
          <t>A 43282-2021</t>
        </is>
      </c>
      <c r="B69" t="inlineStr">
        <is>
          <t>avverkningsanmälan</t>
        </is>
      </c>
      <c r="C69" t="inlineStr">
        <is>
          <t>Föryngringsavverkning</t>
        </is>
      </c>
      <c r="D69" s="1" t="n">
        <v>44432</v>
      </c>
      <c r="E69" s="1" t="n">
        <v>46223</v>
      </c>
      <c r="F69" t="inlineStr">
        <is>
          <t>GÄVLEBORGS LÄN</t>
        </is>
      </c>
      <c r="G69" t="inlineStr">
        <is>
          <t>HOFORS</t>
        </is>
      </c>
      <c r="H69" t="inlineStr">
        <is>
          <t>Sveaskog</t>
        </is>
      </c>
      <c r="I69" t="n">
        <v>2.4</v>
      </c>
      <c r="J69" t="n">
        <v>1</v>
      </c>
      <c r="K69" t="n">
        <v>0</v>
      </c>
      <c r="L69" t="n">
        <v>0</v>
      </c>
      <c r="M69" t="n">
        <v>0</v>
      </c>
      <c r="N69" t="n">
        <v>0</v>
      </c>
      <c r="O69" t="n">
        <v>0</v>
      </c>
      <c r="P69" t="n">
        <v>0</v>
      </c>
      <c r="Q69" t="n">
        <v>0</v>
      </c>
      <c r="R69" t="n">
        <v>0</v>
      </c>
      <c r="S69" t="n">
        <v>1</v>
      </c>
      <c r="T69" t="n">
        <v>2</v>
      </c>
      <c r="U69" s="2" t="inlineStr">
        <is>
          <t>Blåsippa</t>
        </is>
      </c>
      <c r="V69">
        <f>HYPERLINK("https://klasma.github.io/Logging_2104/artfynd/A 43282-2021 artfynd.xlsx", "A 43282-2021")</f>
        <v/>
      </c>
      <c r="W69">
        <f>HYPERLINK("https://klasma.github.io/Logging_2104/kartor/A 43282-2021 karta.png", "A 43282-2021")</f>
        <v/>
      </c>
      <c r="X69">
        <f>HYPERLINK("https://klasma.github.io/Logging_2104/kartor_geotiff/A 43282-2021 georefererad karta.tif", "A 43282-2021")</f>
        <v/>
      </c>
      <c r="Z69">
        <f>HYPERLINK("https://klasma.github.io/Logging_2104/klagomål/A 43282-2021 FSC-klagomål.docx", "A 43282-2021")</f>
        <v/>
      </c>
      <c r="AA69">
        <f>HYPERLINK("https://klasma.github.io/Logging_2104/klagomålsmail/A 43282-2021 FSC-klagomål mail.docx", "A 43282-2021")</f>
        <v/>
      </c>
      <c r="AB69">
        <f>HYPERLINK("https://klasma.github.io/Logging_2104/tillsyn/A 43282-2021 tillsynsbegäran.docx", "A 43282-2021")</f>
        <v/>
      </c>
      <c r="AC69">
        <f>HYPERLINK("https://klasma.github.io/Logging_2104/tillsynsmail/A 43282-2021 tillsynsbegäran mail.docx", "A 43282-2021")</f>
        <v/>
      </c>
    </row>
    <row r="70" ht="15" customHeight="1">
      <c r="A70" t="inlineStr">
        <is>
          <t>A 28273-2026</t>
        </is>
      </c>
      <c r="B70" t="inlineStr">
        <is>
          <t>avverkningsanmälan</t>
        </is>
      </c>
      <c r="C70" t="inlineStr">
        <is>
          <t>Föryngringsavverkning</t>
        </is>
      </c>
      <c r="D70" s="1" t="n">
        <v>46196</v>
      </c>
      <c r="E70" s="1" t="n">
        <v>46223</v>
      </c>
      <c r="F70" t="inlineStr">
        <is>
          <t>GÄVLEBORGS LÄN</t>
        </is>
      </c>
      <c r="G70" t="inlineStr">
        <is>
          <t>HOFORS</t>
        </is>
      </c>
      <c r="H70" t="inlineStr">
        <is>
          <t>Sveaskog</t>
        </is>
      </c>
      <c r="I70" t="n">
        <v>10.1</v>
      </c>
      <c r="J70" t="n">
        <v>0</v>
      </c>
      <c r="K70" t="n">
        <v>0</v>
      </c>
      <c r="L70" t="n">
        <v>1</v>
      </c>
      <c r="M70" t="n">
        <v>0</v>
      </c>
      <c r="N70" t="n">
        <v>0</v>
      </c>
      <c r="O70" t="n">
        <v>0</v>
      </c>
      <c r="P70" t="n">
        <v>0</v>
      </c>
      <c r="Q70" t="n">
        <v>1</v>
      </c>
      <c r="R70" t="n">
        <v>0</v>
      </c>
      <c r="S70" t="n">
        <v>1</v>
      </c>
      <c r="T70" t="n">
        <v>1</v>
      </c>
      <c r="U70" s="2" t="inlineStr">
        <is>
          <t>Kolflarnlav</t>
        </is>
      </c>
      <c r="V70">
        <f>HYPERLINK("https://klasma.github.io/Logging_2104/artfynd/A 28273-2026 artfynd.xlsx", "A 28273-2026")</f>
        <v/>
      </c>
      <c r="W70">
        <f>HYPERLINK("https://klasma.github.io/Logging_2104/kartor/A 28273-2026 karta.png", "A 28273-2026")</f>
        <v/>
      </c>
      <c r="X70">
        <f>HYPERLINK("https://klasma.github.io/Logging_2104/kartor_geotiff/A 28273-2026 georefererad karta.tif", "A 28273-2026")</f>
        <v/>
      </c>
      <c r="Z70">
        <f>HYPERLINK("https://klasma.github.io/Logging_2104/klagomål/A 28273-2026 FSC-klagomål.docx", "A 28273-2026")</f>
        <v/>
      </c>
      <c r="AA70">
        <f>HYPERLINK("https://klasma.github.io/Logging_2104/klagomålsmail/A 28273-2026 FSC-klagomål mail.docx", "A 28273-2026")</f>
        <v/>
      </c>
      <c r="AB70">
        <f>HYPERLINK("https://klasma.github.io/Logging_2104/tillsyn/A 28273-2026 tillsynsbegäran.docx", "A 28273-2026")</f>
        <v/>
      </c>
      <c r="AC70">
        <f>HYPERLINK("https://klasma.github.io/Logging_2104/tillsynsmail/A 28273-2026 tillsynsbegäran mail.docx", "A 28273-2026")</f>
        <v/>
      </c>
    </row>
    <row r="71" ht="15" customHeight="1">
      <c r="A71" t="inlineStr">
        <is>
          <t>A 234-2023</t>
        </is>
      </c>
      <c r="B71" t="inlineStr">
        <is>
          <t>avverkningsanmälan</t>
        </is>
      </c>
      <c r="C71" t="inlineStr">
        <is>
          <t>Föryngringsavverkning</t>
        </is>
      </c>
      <c r="D71" s="1" t="n">
        <v>44928</v>
      </c>
      <c r="E71" s="1" t="n">
        <v>46223</v>
      </c>
      <c r="F71" t="inlineStr">
        <is>
          <t>GÄVLEBORGS LÄN</t>
        </is>
      </c>
      <c r="G71" t="inlineStr">
        <is>
          <t>HOFORS</t>
        </is>
      </c>
      <c r="H71" t="inlineStr">
        <is>
          <t>Sveaskog</t>
        </is>
      </c>
      <c r="I71" t="n">
        <v>5.1</v>
      </c>
      <c r="J71" t="n">
        <v>1</v>
      </c>
      <c r="K71" t="n">
        <v>0</v>
      </c>
      <c r="L71" t="n">
        <v>0</v>
      </c>
      <c r="M71" t="n">
        <v>1</v>
      </c>
      <c r="N71" t="n">
        <v>0</v>
      </c>
      <c r="O71" t="n">
        <v>0</v>
      </c>
      <c r="P71" t="n">
        <v>0</v>
      </c>
      <c r="Q71" t="n">
        <v>1</v>
      </c>
      <c r="R71" t="n">
        <v>1</v>
      </c>
      <c r="S71" t="n">
        <v>1</v>
      </c>
      <c r="T71" t="n">
        <v>1</v>
      </c>
      <c r="U71" s="2" t="inlineStr">
        <is>
          <t>Knärot</t>
        </is>
      </c>
      <c r="V71">
        <f>HYPERLINK("https://klasma.github.io/Logging_2104/artfynd/A 234-2023 artfynd.xlsx", "A 234-2023")</f>
        <v/>
      </c>
      <c r="W71">
        <f>HYPERLINK("https://klasma.github.io/Logging_2104/kartor/A 234-2023 karta.png", "A 234-2023")</f>
        <v/>
      </c>
      <c r="X71">
        <f>HYPERLINK("https://klasma.github.io/Logging_2104/kartor_geotiff/A 234-2023 georefererad karta.tif", "A 234-2023")</f>
        <v/>
      </c>
      <c r="Y71">
        <f>HYPERLINK("https://klasma.github.io/Logging_2104/knärot/A 234-2023 karta knärot.png", "A 234-2023")</f>
        <v/>
      </c>
      <c r="Z71">
        <f>HYPERLINK("https://klasma.github.io/Logging_2104/klagomål/A 234-2023 FSC-klagomål.docx", "A 234-2023")</f>
        <v/>
      </c>
      <c r="AA71">
        <f>HYPERLINK("https://klasma.github.io/Logging_2104/klagomålsmail/A 234-2023 FSC-klagomål mail.docx", "A 234-2023")</f>
        <v/>
      </c>
      <c r="AB71">
        <f>HYPERLINK("https://klasma.github.io/Logging_2104/tillsyn/A 234-2023 tillsynsbegäran.docx", "A 234-2023")</f>
        <v/>
      </c>
      <c r="AC71">
        <f>HYPERLINK("https://klasma.github.io/Logging_2104/tillsynsmail/A 234-2023 tillsynsbegäran mail.docx", "A 234-2023")</f>
        <v/>
      </c>
    </row>
    <row r="72" ht="15" customHeight="1">
      <c r="A72" t="inlineStr">
        <is>
          <t>A 31184-2026</t>
        </is>
      </c>
      <c r="B72" t="inlineStr">
        <is>
          <t>avverkningsanmälan</t>
        </is>
      </c>
      <c r="C72" t="inlineStr">
        <is>
          <t>Föryngringsavverkning</t>
        </is>
      </c>
      <c r="D72" s="1" t="n">
        <v>46217</v>
      </c>
      <c r="E72" s="1" t="n">
        <v>46223</v>
      </c>
      <c r="F72" t="inlineStr">
        <is>
          <t>GÄVLEBORGS LÄN</t>
        </is>
      </c>
      <c r="G72" t="inlineStr">
        <is>
          <t>HOFORS</t>
        </is>
      </c>
      <c r="H72" t="inlineStr">
        <is>
          <t>Sveaskog</t>
        </is>
      </c>
      <c r="I72" t="n">
        <v>7</v>
      </c>
      <c r="J72" t="n">
        <v>1</v>
      </c>
      <c r="K72" t="n">
        <v>0</v>
      </c>
      <c r="L72" t="n">
        <v>0</v>
      </c>
      <c r="M72" t="n">
        <v>0</v>
      </c>
      <c r="N72" t="n">
        <v>0</v>
      </c>
      <c r="O72" t="n">
        <v>0</v>
      </c>
      <c r="P72" t="n">
        <v>0</v>
      </c>
      <c r="Q72" t="n">
        <v>0</v>
      </c>
      <c r="R72" t="n">
        <v>0</v>
      </c>
      <c r="S72" t="n">
        <v>1</v>
      </c>
      <c r="T72" t="n">
        <v>1</v>
      </c>
      <c r="U72" s="2" t="inlineStr">
        <is>
          <t>Fläcknycklar</t>
        </is>
      </c>
      <c r="V72">
        <f>HYPERLINK("https://klasma.github.io/Logging_2104/artfynd/A 31184-2026 artfynd.xlsx", "A 31184-2026")</f>
        <v/>
      </c>
      <c r="W72">
        <f>HYPERLINK("https://klasma.github.io/Logging_2104/kartor/A 31184-2026 karta.png", "A 31184-2026")</f>
        <v/>
      </c>
      <c r="X72">
        <f>HYPERLINK("https://klasma.github.io/Logging_2104/kartor_geotiff/A 31184-2026 georefererad karta.tif", "A 31184-2026")</f>
        <v/>
      </c>
      <c r="Z72">
        <f>HYPERLINK("https://klasma.github.io/Logging_2104/klagomål/A 31184-2026 FSC-klagomål.docx", "A 31184-2026")</f>
        <v/>
      </c>
      <c r="AA72">
        <f>HYPERLINK("https://klasma.github.io/Logging_2104/klagomålsmail/A 31184-2026 FSC-klagomål mail.docx", "A 31184-2026")</f>
        <v/>
      </c>
      <c r="AB72">
        <f>HYPERLINK("https://klasma.github.io/Logging_2104/tillsyn/A 31184-2026 tillsynsbegäran.docx", "A 31184-2026")</f>
        <v/>
      </c>
      <c r="AC72">
        <f>HYPERLINK("https://klasma.github.io/Logging_2104/tillsynsmail/A 31184-2026 tillsynsbegäran mail.docx", "A 31184-2026")</f>
        <v/>
      </c>
    </row>
    <row r="73" ht="15" customHeight="1">
      <c r="A73" t="inlineStr">
        <is>
          <t>A 31185-2026</t>
        </is>
      </c>
      <c r="B73" t="inlineStr">
        <is>
          <t>avverkningsanmälan</t>
        </is>
      </c>
      <c r="C73" t="inlineStr">
        <is>
          <t>Föryngringsavverkning</t>
        </is>
      </c>
      <c r="D73" s="1" t="n">
        <v>46217</v>
      </c>
      <c r="E73" s="1" t="n">
        <v>46223</v>
      </c>
      <c r="F73" t="inlineStr">
        <is>
          <t>GÄVLEBORGS LÄN</t>
        </is>
      </c>
      <c r="G73" t="inlineStr">
        <is>
          <t>HOFORS</t>
        </is>
      </c>
      <c r="H73" t="inlineStr">
        <is>
          <t>Sveaskog</t>
        </is>
      </c>
      <c r="I73" t="n">
        <v>6.8</v>
      </c>
      <c r="J73" t="n">
        <v>1</v>
      </c>
      <c r="K73" t="n">
        <v>0</v>
      </c>
      <c r="L73" t="n">
        <v>0</v>
      </c>
      <c r="M73" t="n">
        <v>0</v>
      </c>
      <c r="N73" t="n">
        <v>0</v>
      </c>
      <c r="O73" t="n">
        <v>0</v>
      </c>
      <c r="P73" t="n">
        <v>0</v>
      </c>
      <c r="Q73" t="n">
        <v>0</v>
      </c>
      <c r="R73" t="n">
        <v>0</v>
      </c>
      <c r="S73" t="n">
        <v>1</v>
      </c>
      <c r="T73" t="n">
        <v>1</v>
      </c>
      <c r="U73" s="2" t="inlineStr">
        <is>
          <t>Fläcknycklar</t>
        </is>
      </c>
      <c r="V73">
        <f>HYPERLINK("https://klasma.github.io/Logging_2104/artfynd/A 31185-2026 artfynd.xlsx", "A 31185-2026")</f>
        <v/>
      </c>
      <c r="W73">
        <f>HYPERLINK("https://klasma.github.io/Logging_2104/kartor/A 31185-2026 karta.png", "A 31185-2026")</f>
        <v/>
      </c>
      <c r="X73">
        <f>HYPERLINK("https://klasma.github.io/Logging_2104/kartor_geotiff/A 31185-2026 georefererad karta.tif", "A 31185-2026")</f>
        <v/>
      </c>
      <c r="Z73">
        <f>HYPERLINK("https://klasma.github.io/Logging_2104/klagomål/A 31185-2026 FSC-klagomål.docx", "A 31185-2026")</f>
        <v/>
      </c>
      <c r="AA73">
        <f>HYPERLINK("https://klasma.github.io/Logging_2104/klagomålsmail/A 31185-2026 FSC-klagomål mail.docx", "A 31185-2026")</f>
        <v/>
      </c>
      <c r="AB73">
        <f>HYPERLINK("https://klasma.github.io/Logging_2104/tillsyn/A 31185-2026 tillsynsbegäran.docx", "A 31185-2026")</f>
        <v/>
      </c>
      <c r="AC73">
        <f>HYPERLINK("https://klasma.github.io/Logging_2104/tillsynsmail/A 31185-2026 tillsynsbegäran mail.docx", "A 31185-2026")</f>
        <v/>
      </c>
    </row>
    <row r="74" ht="15" customHeight="1">
      <c r="A74" t="inlineStr">
        <is>
          <t>S 445-2025</t>
        </is>
      </c>
      <c r="B74" t="inlineStr">
        <is>
          <t>samrådsanmälan</t>
        </is>
      </c>
      <c r="C74" t="inlineStr">
        <is>
          <t>Skogsgödsling</t>
        </is>
      </c>
      <c r="D74" s="1" t="n">
        <v>45701</v>
      </c>
      <c r="E74" s="1" t="n">
        <v>46223</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s="2" t="inlineStr">
        <is>
          <t>Lopplummer (aggregat)</t>
        </is>
      </c>
      <c r="V74">
        <f>HYPERLINK("https://klasma.github.io/Logging_2104/artfynd/S 445-2025 artfynd.xlsx", "S 445-2025")</f>
        <v/>
      </c>
      <c r="W74">
        <f>HYPERLINK("https://klasma.github.io/Logging_2104/kartor/S 445-2025 karta.png", "S 445-2025")</f>
        <v/>
      </c>
      <c r="X74">
        <f>HYPERLINK("https://klasma.github.io/Logging_2104/kartor_geotiff/S 445-2025 georefererad karta.tif", "S 445-2025")</f>
        <v/>
      </c>
      <c r="Z74">
        <f>HYPERLINK("https://klasma.github.io/Logging_2104/klagomål/S 445-2025 FSC-klagomål.docx", "S 445-2025")</f>
        <v/>
      </c>
      <c r="AA74">
        <f>HYPERLINK("https://klasma.github.io/Logging_2104/klagomålsmail/S 445-2025 FSC-klagomål mail.docx", "S 445-2025")</f>
        <v/>
      </c>
      <c r="AB74">
        <f>HYPERLINK("https://klasma.github.io/Logging_2104/tillsyn/S 445-2025 tillsynsbegäran.docx", "S 445-2025")</f>
        <v/>
      </c>
      <c r="AC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46223</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s="2" t="inlineStr">
        <is>
          <t>Orre</t>
        </is>
      </c>
      <c r="V75">
        <f>HYPERLINK("https://klasma.github.io/Logging_2104/artfynd/S 769-2025 artfynd.xlsx", "S 769-2025")</f>
        <v/>
      </c>
      <c r="W75">
        <f>HYPERLINK("https://klasma.github.io/Logging_2104/kartor/S 769-2025 karta.png", "S 769-2025")</f>
        <v/>
      </c>
      <c r="X75">
        <f>HYPERLINK("https://klasma.github.io/Logging_2104/kartor_geotiff/S 769-2025 georefererad karta.tif", "S 769-2025")</f>
        <v/>
      </c>
      <c r="Z75">
        <f>HYPERLINK("https://klasma.github.io/Logging_2104/klagomål/S 769-2025 FSC-klagomål.docx", "S 769-2025")</f>
        <v/>
      </c>
      <c r="AA75">
        <f>HYPERLINK("https://klasma.github.io/Logging_2104/klagomålsmail/S 769-2025 FSC-klagomål mail.docx", "S 769-2025")</f>
        <v/>
      </c>
      <c r="AB75">
        <f>HYPERLINK("https://klasma.github.io/Logging_2104/tillsyn/S 769-2025 tillsynsbegäran.docx", "S 769-2025")</f>
        <v/>
      </c>
      <c r="AC75">
        <f>HYPERLINK("https://klasma.github.io/Logging_2104/tillsynsmail/S 769-2025 tillsynsbegäran mail.docx", "S 769-2025")</f>
        <v/>
      </c>
      <c r="AD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46223</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s="2" t="inlineStr">
        <is>
          <t>Skogsklocka</t>
        </is>
      </c>
      <c r="V76">
        <f>HYPERLINK("https://klasma.github.io/Logging_2104/artfynd/S 502-2025 artfynd.xlsx", "S 502-2025")</f>
        <v/>
      </c>
      <c r="W76">
        <f>HYPERLINK("https://klasma.github.io/Logging_2104/kartor/S 502-2025 karta.png", "S 502-2025")</f>
        <v/>
      </c>
      <c r="X76">
        <f>HYPERLINK("https://klasma.github.io/Logging_2104/kartor_geotiff/S 502-2025 georefererad karta.tif", "S 502-2025")</f>
        <v/>
      </c>
      <c r="Z76">
        <f>HYPERLINK("https://klasma.github.io/Logging_2104/klagomål/S 502-2025 FSC-klagomål.docx", "S 502-2025")</f>
        <v/>
      </c>
      <c r="AA76">
        <f>HYPERLINK("https://klasma.github.io/Logging_2104/klagomålsmail/S 502-2025 FSC-klagomål mail.docx", "S 502-2025")</f>
        <v/>
      </c>
      <c r="AB76">
        <f>HYPERLINK("https://klasma.github.io/Logging_2104/tillsyn/S 502-2025 tillsynsbegäran.docx", "S 502-2025")</f>
        <v/>
      </c>
      <c r="AC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46223</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s="2" t="inlineStr"/>
    </row>
    <row r="78" ht="15" customHeight="1">
      <c r="A78" t="inlineStr">
        <is>
          <t>A 3052-2022</t>
        </is>
      </c>
      <c r="B78" t="inlineStr">
        <is>
          <t>avverkningsanmälan</t>
        </is>
      </c>
      <c r="C78" t="inlineStr">
        <is>
          <t>Föryngringsavverkning</t>
        </is>
      </c>
      <c r="D78" s="1" t="n">
        <v>44582</v>
      </c>
      <c r="E78" s="1" t="n">
        <v>46223</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s="2" t="inlineStr"/>
    </row>
    <row r="79" ht="15" customHeight="1">
      <c r="A79" t="inlineStr">
        <is>
          <t>A 61687-2021</t>
        </is>
      </c>
      <c r="B79" t="inlineStr">
        <is>
          <t>avverkningsanmälan</t>
        </is>
      </c>
      <c r="C79" t="inlineStr">
        <is>
          <t>Föryngringsavverkning</t>
        </is>
      </c>
      <c r="D79" s="1" t="n">
        <v>44501</v>
      </c>
      <c r="E79" s="1" t="n">
        <v>46223</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s="2" t="inlineStr"/>
    </row>
    <row r="80" ht="15" customHeight="1">
      <c r="A80" t="inlineStr">
        <is>
          <t>A 47485-2021</t>
        </is>
      </c>
      <c r="B80" t="inlineStr">
        <is>
          <t>avverkningsanmälan</t>
        </is>
      </c>
      <c r="C80" t="inlineStr">
        <is>
          <t>Föryngringsavverkning</t>
        </is>
      </c>
      <c r="D80" s="1" t="n">
        <v>44447</v>
      </c>
      <c r="E80" s="1" t="n">
        <v>46223</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s="2" t="inlineStr"/>
    </row>
    <row r="81" ht="15" customHeight="1">
      <c r="A81" t="inlineStr">
        <is>
          <t>A 62875-2021</t>
        </is>
      </c>
      <c r="B81" t="inlineStr">
        <is>
          <t>avverkningsanmälan</t>
        </is>
      </c>
      <c r="C81" t="inlineStr">
        <is>
          <t>Föryngringsavverkning</t>
        </is>
      </c>
      <c r="D81" s="1" t="n">
        <v>44504</v>
      </c>
      <c r="E81" s="1" t="n">
        <v>46223</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s="2" t="inlineStr"/>
    </row>
    <row r="82" ht="15" customHeight="1">
      <c r="A82" t="inlineStr">
        <is>
          <t>A 64706-2021</t>
        </is>
      </c>
      <c r="B82" t="inlineStr">
        <is>
          <t>avverkningsanmälan</t>
        </is>
      </c>
      <c r="C82" t="inlineStr">
        <is>
          <t>Föryngringsavverkning</t>
        </is>
      </c>
      <c r="D82" s="1" t="n">
        <v>44512</v>
      </c>
      <c r="E82" s="1" t="n">
        <v>46223</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s="2" t="inlineStr"/>
    </row>
    <row r="83" ht="15" customHeight="1">
      <c r="A83" t="inlineStr">
        <is>
          <t>A 52320-2022</t>
        </is>
      </c>
      <c r="B83" t="inlineStr">
        <is>
          <t>avverkningsanmälan</t>
        </is>
      </c>
      <c r="C83" t="inlineStr">
        <is>
          <t>Föryngringsavverkning</t>
        </is>
      </c>
      <c r="D83" s="1" t="n">
        <v>44873</v>
      </c>
      <c r="E83" s="1" t="n">
        <v>46223</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s="2" t="inlineStr"/>
    </row>
    <row r="84" ht="15" customHeight="1">
      <c r="A84" t="inlineStr">
        <is>
          <t>A 19292-2022</t>
        </is>
      </c>
      <c r="B84" t="inlineStr">
        <is>
          <t>avverkningsanmälan</t>
        </is>
      </c>
      <c r="C84" t="inlineStr">
        <is>
          <t>Föryngringsavverkning</t>
        </is>
      </c>
      <c r="D84" s="1" t="n">
        <v>44692</v>
      </c>
      <c r="E84" s="1" t="n">
        <v>46223</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s="2" t="inlineStr"/>
    </row>
    <row r="85" ht="15" customHeight="1">
      <c r="A85" t="inlineStr">
        <is>
          <t>A 51202-2022</t>
        </is>
      </c>
      <c r="B85" t="inlineStr">
        <is>
          <t>avverkningsanmälan</t>
        </is>
      </c>
      <c r="C85" t="inlineStr">
        <is>
          <t>Föryngringsavverkning</t>
        </is>
      </c>
      <c r="D85" s="1" t="n">
        <v>44868</v>
      </c>
      <c r="E85" s="1" t="n">
        <v>46223</v>
      </c>
      <c r="F85" t="inlineStr">
        <is>
          <t>GÄVLEBORGS LÄN</t>
        </is>
      </c>
      <c r="G85" t="inlineStr">
        <is>
          <t>HOFORS</t>
        </is>
      </c>
      <c r="H85" t="inlineStr">
        <is>
          <t>Sveaskog</t>
        </is>
      </c>
      <c r="I85" t="n">
        <v>11.3</v>
      </c>
      <c r="J85" t="n">
        <v>0</v>
      </c>
      <c r="K85" t="n">
        <v>0</v>
      </c>
      <c r="L85" t="n">
        <v>0</v>
      </c>
      <c r="M85" t="n">
        <v>0</v>
      </c>
      <c r="N85" t="n">
        <v>0</v>
      </c>
      <c r="O85" t="n">
        <v>0</v>
      </c>
      <c r="P85" t="n">
        <v>0</v>
      </c>
      <c r="Q85" t="n">
        <v>0</v>
      </c>
      <c r="R85" t="n">
        <v>0</v>
      </c>
      <c r="S85" t="n">
        <v>0</v>
      </c>
      <c r="T85" t="n">
        <v>0</v>
      </c>
      <c r="U85" s="2" t="inlineStr"/>
    </row>
    <row r="86" ht="15" customHeight="1">
      <c r="A86" t="inlineStr">
        <is>
          <t>A 13473-2024</t>
        </is>
      </c>
      <c r="B86" t="inlineStr">
        <is>
          <t>avverkningsanmälan</t>
        </is>
      </c>
      <c r="C86" t="inlineStr">
        <is>
          <t>Föryngringsavverkning</t>
        </is>
      </c>
      <c r="D86" s="1" t="n">
        <v>45387</v>
      </c>
      <c r="E86" s="1" t="n">
        <v>46223</v>
      </c>
      <c r="F86" t="inlineStr">
        <is>
          <t>GÄVLEBORGS LÄN</t>
        </is>
      </c>
      <c r="G86" t="inlineStr">
        <is>
          <t>HOFORS</t>
        </is>
      </c>
      <c r="I86" t="n">
        <v>1.8</v>
      </c>
      <c r="J86" t="n">
        <v>0</v>
      </c>
      <c r="K86" t="n">
        <v>0</v>
      </c>
      <c r="L86" t="n">
        <v>0</v>
      </c>
      <c r="M86" t="n">
        <v>0</v>
      </c>
      <c r="N86" t="n">
        <v>0</v>
      </c>
      <c r="O86" t="n">
        <v>0</v>
      </c>
      <c r="P86" t="n">
        <v>0</v>
      </c>
      <c r="Q86" t="n">
        <v>0</v>
      </c>
      <c r="R86" t="n">
        <v>0</v>
      </c>
      <c r="S86" t="n">
        <v>0</v>
      </c>
      <c r="T86" t="n">
        <v>0</v>
      </c>
      <c r="U86" s="2" t="inlineStr"/>
    </row>
    <row r="87" ht="15" customHeight="1">
      <c r="A87" t="inlineStr">
        <is>
          <t>A 35505-2024</t>
        </is>
      </c>
      <c r="B87" t="inlineStr">
        <is>
          <t>avverkningsanmälan</t>
        </is>
      </c>
      <c r="C87" t="inlineStr">
        <is>
          <t>Föryngringsavverkning</t>
        </is>
      </c>
      <c r="D87" s="1" t="n">
        <v>45531</v>
      </c>
      <c r="E87" s="1" t="n">
        <v>46223</v>
      </c>
      <c r="F87" t="inlineStr">
        <is>
          <t>GÄVLEBORGS LÄN</t>
        </is>
      </c>
      <c r="G87" t="inlineStr">
        <is>
          <t>HOFORS</t>
        </is>
      </c>
      <c r="H87" t="inlineStr">
        <is>
          <t>Sveaskog</t>
        </is>
      </c>
      <c r="I87" t="n">
        <v>1</v>
      </c>
      <c r="J87" t="n">
        <v>0</v>
      </c>
      <c r="K87" t="n">
        <v>0</v>
      </c>
      <c r="L87" t="n">
        <v>0</v>
      </c>
      <c r="M87" t="n">
        <v>0</v>
      </c>
      <c r="N87" t="n">
        <v>0</v>
      </c>
      <c r="O87" t="n">
        <v>0</v>
      </c>
      <c r="P87" t="n">
        <v>0</v>
      </c>
      <c r="Q87" t="n">
        <v>0</v>
      </c>
      <c r="R87" t="n">
        <v>0</v>
      </c>
      <c r="S87" t="n">
        <v>0</v>
      </c>
      <c r="T87" t="n">
        <v>0</v>
      </c>
      <c r="U87" s="2" t="inlineStr"/>
    </row>
    <row r="88" ht="15" customHeight="1">
      <c r="A88" t="inlineStr">
        <is>
          <t>A 22226-2024</t>
        </is>
      </c>
      <c r="B88" t="inlineStr">
        <is>
          <t>avverkningsanmälan</t>
        </is>
      </c>
      <c r="C88" t="inlineStr">
        <is>
          <t>Föryngringsavverkning</t>
        </is>
      </c>
      <c r="D88" s="1" t="n">
        <v>45446</v>
      </c>
      <c r="E88" s="1" t="n">
        <v>46223</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s="2" t="inlineStr"/>
    </row>
    <row r="89" ht="15" customHeight="1">
      <c r="A89" t="inlineStr">
        <is>
          <t>A 23376-2024</t>
        </is>
      </c>
      <c r="B89" t="inlineStr">
        <is>
          <t>avverkningsanmälan</t>
        </is>
      </c>
      <c r="C89" t="inlineStr">
        <is>
          <t>Föryngringsavverkning</t>
        </is>
      </c>
      <c r="D89" s="1" t="n">
        <v>45453</v>
      </c>
      <c r="E89" s="1" t="n">
        <v>46223</v>
      </c>
      <c r="F89" t="inlineStr">
        <is>
          <t>GÄVLEBORGS LÄN</t>
        </is>
      </c>
      <c r="G89" t="inlineStr">
        <is>
          <t>HOFORS</t>
        </is>
      </c>
      <c r="H89" t="inlineStr">
        <is>
          <t>Sveaskog</t>
        </is>
      </c>
      <c r="I89" t="n">
        <v>10.8</v>
      </c>
      <c r="J89" t="n">
        <v>0</v>
      </c>
      <c r="K89" t="n">
        <v>0</v>
      </c>
      <c r="L89" t="n">
        <v>0</v>
      </c>
      <c r="M89" t="n">
        <v>0</v>
      </c>
      <c r="N89" t="n">
        <v>0</v>
      </c>
      <c r="O89" t="n">
        <v>0</v>
      </c>
      <c r="P89" t="n">
        <v>0</v>
      </c>
      <c r="Q89" t="n">
        <v>0</v>
      </c>
      <c r="R89" t="n">
        <v>0</v>
      </c>
      <c r="S89" t="n">
        <v>0</v>
      </c>
      <c r="T89" t="n">
        <v>0</v>
      </c>
      <c r="U89" s="2" t="inlineStr"/>
    </row>
    <row r="90" ht="15" customHeight="1">
      <c r="A90" t="inlineStr">
        <is>
          <t>A 47531-2021</t>
        </is>
      </c>
      <c r="B90" t="inlineStr">
        <is>
          <t>avverkningsanmälan</t>
        </is>
      </c>
      <c r="C90" t="inlineStr">
        <is>
          <t>Föryngringsavverkning</t>
        </is>
      </c>
      <c r="D90" s="1" t="n">
        <v>44447</v>
      </c>
      <c r="E90" s="1" t="n">
        <v>46223</v>
      </c>
      <c r="F90" t="inlineStr">
        <is>
          <t>GÄVLEBORGS LÄN</t>
        </is>
      </c>
      <c r="G90" t="inlineStr">
        <is>
          <t>HOFORS</t>
        </is>
      </c>
      <c r="I90" t="n">
        <v>7.6</v>
      </c>
      <c r="J90" t="n">
        <v>0</v>
      </c>
      <c r="K90" t="n">
        <v>0</v>
      </c>
      <c r="L90" t="n">
        <v>0</v>
      </c>
      <c r="M90" t="n">
        <v>0</v>
      </c>
      <c r="N90" t="n">
        <v>0</v>
      </c>
      <c r="O90" t="n">
        <v>0</v>
      </c>
      <c r="P90" t="n">
        <v>0</v>
      </c>
      <c r="Q90" t="n">
        <v>0</v>
      </c>
      <c r="R90" t="n">
        <v>0</v>
      </c>
      <c r="S90" t="n">
        <v>0</v>
      </c>
      <c r="T90" t="n">
        <v>0</v>
      </c>
      <c r="U90" s="2" t="inlineStr"/>
    </row>
    <row r="91" ht="15" customHeight="1">
      <c r="A91" t="inlineStr">
        <is>
          <t>A 37744-2022</t>
        </is>
      </c>
      <c r="B91" t="inlineStr">
        <is>
          <t>avverkningsanmälan</t>
        </is>
      </c>
      <c r="C91" t="inlineStr">
        <is>
          <t>Föryngringsavverkning</t>
        </is>
      </c>
      <c r="D91" s="1" t="n">
        <v>44810</v>
      </c>
      <c r="E91" s="1" t="n">
        <v>46223</v>
      </c>
      <c r="F91" t="inlineStr">
        <is>
          <t>GÄVLEBORGS LÄN</t>
        </is>
      </c>
      <c r="G91" t="inlineStr">
        <is>
          <t>HOFORS</t>
        </is>
      </c>
      <c r="I91" t="n">
        <v>1.1</v>
      </c>
      <c r="J91" t="n">
        <v>0</v>
      </c>
      <c r="K91" t="n">
        <v>0</v>
      </c>
      <c r="L91" t="n">
        <v>0</v>
      </c>
      <c r="M91" t="n">
        <v>0</v>
      </c>
      <c r="N91" t="n">
        <v>0</v>
      </c>
      <c r="O91" t="n">
        <v>0</v>
      </c>
      <c r="P91" t="n">
        <v>0</v>
      </c>
      <c r="Q91" t="n">
        <v>0</v>
      </c>
      <c r="R91" t="n">
        <v>0</v>
      </c>
      <c r="S91" t="n">
        <v>0</v>
      </c>
      <c r="T91" t="n">
        <v>0</v>
      </c>
      <c r="U91" s="2" t="inlineStr"/>
    </row>
    <row r="92" ht="15" customHeight="1">
      <c r="A92" t="inlineStr">
        <is>
          <t>A 58240-2021</t>
        </is>
      </c>
      <c r="B92" t="inlineStr">
        <is>
          <t>avverkningsanmälan</t>
        </is>
      </c>
      <c r="C92" t="inlineStr">
        <is>
          <t>Föryngringsavverkning</t>
        </is>
      </c>
      <c r="D92" s="1" t="n">
        <v>44487</v>
      </c>
      <c r="E92" s="1" t="n">
        <v>46223</v>
      </c>
      <c r="F92" t="inlineStr">
        <is>
          <t>GÄVLEBORGS LÄN</t>
        </is>
      </c>
      <c r="G92" t="inlineStr">
        <is>
          <t>HOFORS</t>
        </is>
      </c>
      <c r="I92" t="n">
        <v>1.1</v>
      </c>
      <c r="J92" t="n">
        <v>0</v>
      </c>
      <c r="K92" t="n">
        <v>0</v>
      </c>
      <c r="L92" t="n">
        <v>0</v>
      </c>
      <c r="M92" t="n">
        <v>0</v>
      </c>
      <c r="N92" t="n">
        <v>0</v>
      </c>
      <c r="O92" t="n">
        <v>0</v>
      </c>
      <c r="P92" t="n">
        <v>0</v>
      </c>
      <c r="Q92" t="n">
        <v>0</v>
      </c>
      <c r="R92" t="n">
        <v>0</v>
      </c>
      <c r="S92" t="n">
        <v>0</v>
      </c>
      <c r="T92" t="n">
        <v>0</v>
      </c>
      <c r="U92" s="2" t="inlineStr"/>
    </row>
    <row r="93" ht="15" customHeight="1">
      <c r="A93" t="inlineStr">
        <is>
          <t>A 30229-2024</t>
        </is>
      </c>
      <c r="B93" t="inlineStr">
        <is>
          <t>avverkningsanmälan</t>
        </is>
      </c>
      <c r="C93" t="inlineStr">
        <is>
          <t>Föryngringsavverkning</t>
        </is>
      </c>
      <c r="D93" s="1" t="n">
        <v>45490</v>
      </c>
      <c r="E93" s="1" t="n">
        <v>46223</v>
      </c>
      <c r="F93" t="inlineStr">
        <is>
          <t>GÄVLEBORGS LÄN</t>
        </is>
      </c>
      <c r="G93" t="inlineStr">
        <is>
          <t>HOFORS</t>
        </is>
      </c>
      <c r="H93" t="inlineStr">
        <is>
          <t>Sveaskog</t>
        </is>
      </c>
      <c r="I93" t="n">
        <v>3.3</v>
      </c>
      <c r="J93" t="n">
        <v>0</v>
      </c>
      <c r="K93" t="n">
        <v>0</v>
      </c>
      <c r="L93" t="n">
        <v>0</v>
      </c>
      <c r="M93" t="n">
        <v>0</v>
      </c>
      <c r="N93" t="n">
        <v>0</v>
      </c>
      <c r="O93" t="n">
        <v>0</v>
      </c>
      <c r="P93" t="n">
        <v>0</v>
      </c>
      <c r="Q93" t="n">
        <v>0</v>
      </c>
      <c r="R93" t="n">
        <v>0</v>
      </c>
      <c r="S93" t="n">
        <v>0</v>
      </c>
      <c r="T93" t="n">
        <v>0</v>
      </c>
      <c r="U93" s="2" t="inlineStr"/>
    </row>
    <row r="94" ht="15" customHeight="1">
      <c r="A94" t="inlineStr">
        <is>
          <t>A 62596-2023</t>
        </is>
      </c>
      <c r="B94" t="inlineStr">
        <is>
          <t>avverkningsanmälan</t>
        </is>
      </c>
      <c r="C94" t="inlineStr">
        <is>
          <t>Föryngringsavverkning</t>
        </is>
      </c>
      <c r="D94" s="1" t="n">
        <v>45271</v>
      </c>
      <c r="E94" s="1" t="n">
        <v>46223</v>
      </c>
      <c r="F94" t="inlineStr">
        <is>
          <t>GÄVLEBORGS LÄN</t>
        </is>
      </c>
      <c r="G94" t="inlineStr">
        <is>
          <t>HOFORS</t>
        </is>
      </c>
      <c r="I94" t="n">
        <v>3.6</v>
      </c>
      <c r="J94" t="n">
        <v>0</v>
      </c>
      <c r="K94" t="n">
        <v>0</v>
      </c>
      <c r="L94" t="n">
        <v>0</v>
      </c>
      <c r="M94" t="n">
        <v>0</v>
      </c>
      <c r="N94" t="n">
        <v>0</v>
      </c>
      <c r="O94" t="n">
        <v>0</v>
      </c>
      <c r="P94" t="n">
        <v>0</v>
      </c>
      <c r="Q94" t="n">
        <v>0</v>
      </c>
      <c r="R94" t="n">
        <v>0</v>
      </c>
      <c r="S94" t="n">
        <v>0</v>
      </c>
      <c r="T94" t="n">
        <v>0</v>
      </c>
      <c r="U94" s="2" t="inlineStr"/>
    </row>
    <row r="95" ht="15" customHeight="1">
      <c r="A95" t="inlineStr">
        <is>
          <t>A 41020-2023</t>
        </is>
      </c>
      <c r="B95" t="inlineStr">
        <is>
          <t>avverkningsanmälan</t>
        </is>
      </c>
      <c r="C95" t="inlineStr">
        <is>
          <t>Föryngringsavverkning</t>
        </is>
      </c>
      <c r="D95" s="1" t="n">
        <v>45173</v>
      </c>
      <c r="E95" s="1" t="n">
        <v>46223</v>
      </c>
      <c r="F95" t="inlineStr">
        <is>
          <t>GÄVLEBORGS LÄN</t>
        </is>
      </c>
      <c r="G95" t="inlineStr">
        <is>
          <t>HOFORS</t>
        </is>
      </c>
      <c r="H95" t="inlineStr">
        <is>
          <t>Sveaskog</t>
        </is>
      </c>
      <c r="I95" t="n">
        <v>1.5</v>
      </c>
      <c r="J95" t="n">
        <v>0</v>
      </c>
      <c r="K95" t="n">
        <v>0</v>
      </c>
      <c r="L95" t="n">
        <v>0</v>
      </c>
      <c r="M95" t="n">
        <v>0</v>
      </c>
      <c r="N95" t="n">
        <v>0</v>
      </c>
      <c r="O95" t="n">
        <v>0</v>
      </c>
      <c r="P95" t="n">
        <v>0</v>
      </c>
      <c r="Q95" t="n">
        <v>0</v>
      </c>
      <c r="R95" t="n">
        <v>0</v>
      </c>
      <c r="S95" t="n">
        <v>0</v>
      </c>
      <c r="T95" t="n">
        <v>0</v>
      </c>
      <c r="U95" s="2" t="inlineStr"/>
    </row>
    <row r="96" ht="15" customHeight="1">
      <c r="A96" t="inlineStr">
        <is>
          <t>A 30007-2024</t>
        </is>
      </c>
      <c r="B96" t="inlineStr">
        <is>
          <t>avverkningsanmälan</t>
        </is>
      </c>
      <c r="C96" t="inlineStr">
        <is>
          <t>Föryngringsavverkning</t>
        </is>
      </c>
      <c r="D96" s="1" t="n">
        <v>45488</v>
      </c>
      <c r="E96" s="1" t="n">
        <v>46223</v>
      </c>
      <c r="F96" t="inlineStr">
        <is>
          <t>GÄVLEBORGS LÄN</t>
        </is>
      </c>
      <c r="G96" t="inlineStr">
        <is>
          <t>HOFORS</t>
        </is>
      </c>
      <c r="H96" t="inlineStr">
        <is>
          <t>Sveaskog</t>
        </is>
      </c>
      <c r="I96" t="n">
        <v>11.5</v>
      </c>
      <c r="J96" t="n">
        <v>0</v>
      </c>
      <c r="K96" t="n">
        <v>0</v>
      </c>
      <c r="L96" t="n">
        <v>0</v>
      </c>
      <c r="M96" t="n">
        <v>0</v>
      </c>
      <c r="N96" t="n">
        <v>0</v>
      </c>
      <c r="O96" t="n">
        <v>0</v>
      </c>
      <c r="P96" t="n">
        <v>0</v>
      </c>
      <c r="Q96" t="n">
        <v>0</v>
      </c>
      <c r="R96" t="n">
        <v>0</v>
      </c>
      <c r="S96" t="n">
        <v>0</v>
      </c>
      <c r="T96" t="n">
        <v>0</v>
      </c>
      <c r="U96" s="2" t="inlineStr"/>
    </row>
    <row r="97" ht="15" customHeight="1">
      <c r="A97" t="inlineStr">
        <is>
          <t>A 30009-2024</t>
        </is>
      </c>
      <c r="B97" t="inlineStr">
        <is>
          <t>avverkningsanmälan</t>
        </is>
      </c>
      <c r="C97" t="inlineStr">
        <is>
          <t>Föryngringsavverkning</t>
        </is>
      </c>
      <c r="D97" s="1" t="n">
        <v>45488</v>
      </c>
      <c r="E97" s="1" t="n">
        <v>46223</v>
      </c>
      <c r="F97" t="inlineStr">
        <is>
          <t>GÄVLEBORGS LÄN</t>
        </is>
      </c>
      <c r="G97" t="inlineStr">
        <is>
          <t>HOFORS</t>
        </is>
      </c>
      <c r="H97" t="inlineStr">
        <is>
          <t>Sveaskog</t>
        </is>
      </c>
      <c r="I97" t="n">
        <v>0.6</v>
      </c>
      <c r="J97" t="n">
        <v>0</v>
      </c>
      <c r="K97" t="n">
        <v>0</v>
      </c>
      <c r="L97" t="n">
        <v>0</v>
      </c>
      <c r="M97" t="n">
        <v>0</v>
      </c>
      <c r="N97" t="n">
        <v>0</v>
      </c>
      <c r="O97" t="n">
        <v>0</v>
      </c>
      <c r="P97" t="n">
        <v>0</v>
      </c>
      <c r="Q97" t="n">
        <v>0</v>
      </c>
      <c r="R97" t="n">
        <v>0</v>
      </c>
      <c r="S97" t="n">
        <v>0</v>
      </c>
      <c r="T97" t="n">
        <v>0</v>
      </c>
      <c r="U97" s="2" t="inlineStr"/>
    </row>
    <row r="98" ht="15" customHeight="1">
      <c r="A98" t="inlineStr">
        <is>
          <t>A 13471-2024</t>
        </is>
      </c>
      <c r="B98" t="inlineStr">
        <is>
          <t>avverkningsanmälan</t>
        </is>
      </c>
      <c r="C98" t="inlineStr">
        <is>
          <t>Föryngringsavverkning</t>
        </is>
      </c>
      <c r="D98" s="1" t="n">
        <v>45387</v>
      </c>
      <c r="E98" s="1" t="n">
        <v>46223</v>
      </c>
      <c r="F98" t="inlineStr">
        <is>
          <t>GÄVLEBORGS LÄN</t>
        </is>
      </c>
      <c r="G98" t="inlineStr">
        <is>
          <t>HOFORS</t>
        </is>
      </c>
      <c r="I98" t="n">
        <v>2.9</v>
      </c>
      <c r="J98" t="n">
        <v>0</v>
      </c>
      <c r="K98" t="n">
        <v>0</v>
      </c>
      <c r="L98" t="n">
        <v>0</v>
      </c>
      <c r="M98" t="n">
        <v>0</v>
      </c>
      <c r="N98" t="n">
        <v>0</v>
      </c>
      <c r="O98" t="n">
        <v>0</v>
      </c>
      <c r="P98" t="n">
        <v>0</v>
      </c>
      <c r="Q98" t="n">
        <v>0</v>
      </c>
      <c r="R98" t="n">
        <v>0</v>
      </c>
      <c r="S98" t="n">
        <v>0</v>
      </c>
      <c r="T98" t="n">
        <v>0</v>
      </c>
      <c r="U98" s="2" t="inlineStr"/>
    </row>
    <row r="99" ht="15" customHeight="1">
      <c r="A99" t="inlineStr">
        <is>
          <t>A 58787-2021</t>
        </is>
      </c>
      <c r="B99" t="inlineStr">
        <is>
          <t>avverkningsanmälan</t>
        </is>
      </c>
      <c r="C99" t="inlineStr">
        <is>
          <t>Föryngringsavverkning</t>
        </is>
      </c>
      <c r="D99" s="1" t="n">
        <v>44489</v>
      </c>
      <c r="E99" s="1" t="n">
        <v>46223</v>
      </c>
      <c r="F99" t="inlineStr">
        <is>
          <t>GÄVLEBORGS LÄN</t>
        </is>
      </c>
      <c r="G99" t="inlineStr">
        <is>
          <t>HOFORS</t>
        </is>
      </c>
      <c r="I99" t="n">
        <v>1.1</v>
      </c>
      <c r="J99" t="n">
        <v>0</v>
      </c>
      <c r="K99" t="n">
        <v>0</v>
      </c>
      <c r="L99" t="n">
        <v>0</v>
      </c>
      <c r="M99" t="n">
        <v>0</v>
      </c>
      <c r="N99" t="n">
        <v>0</v>
      </c>
      <c r="O99" t="n">
        <v>0</v>
      </c>
      <c r="P99" t="n">
        <v>0</v>
      </c>
      <c r="Q99" t="n">
        <v>0</v>
      </c>
      <c r="R99" t="n">
        <v>0</v>
      </c>
      <c r="S99" t="n">
        <v>0</v>
      </c>
      <c r="T99" t="n">
        <v>0</v>
      </c>
      <c r="U99" s="2" t="inlineStr"/>
    </row>
    <row r="100" ht="15" customHeight="1">
      <c r="A100" t="inlineStr">
        <is>
          <t>A 38486-2025</t>
        </is>
      </c>
      <c r="B100" t="inlineStr">
        <is>
          <t>avverkningsanmälan</t>
        </is>
      </c>
      <c r="C100" t="inlineStr">
        <is>
          <t>Föryngringsavverkning</t>
        </is>
      </c>
      <c r="D100" s="1" t="n">
        <v>45884</v>
      </c>
      <c r="E100" s="1" t="n">
        <v>46223</v>
      </c>
      <c r="F100" t="inlineStr">
        <is>
          <t>GÄVLEBORGS LÄN</t>
        </is>
      </c>
      <c r="G100" t="inlineStr">
        <is>
          <t>HOFORS</t>
        </is>
      </c>
      <c r="I100" t="n">
        <v>1.9</v>
      </c>
      <c r="J100" t="n">
        <v>0</v>
      </c>
      <c r="K100" t="n">
        <v>0</v>
      </c>
      <c r="L100" t="n">
        <v>0</v>
      </c>
      <c r="M100" t="n">
        <v>0</v>
      </c>
      <c r="N100" t="n">
        <v>0</v>
      </c>
      <c r="O100" t="n">
        <v>0</v>
      </c>
      <c r="P100" t="n">
        <v>0</v>
      </c>
      <c r="Q100" t="n">
        <v>0</v>
      </c>
      <c r="R100" t="n">
        <v>0</v>
      </c>
      <c r="S100" t="n">
        <v>0</v>
      </c>
      <c r="T100" t="n">
        <v>0</v>
      </c>
      <c r="U100" s="2" t="inlineStr"/>
    </row>
    <row r="101" ht="15" customHeight="1">
      <c r="A101" t="inlineStr">
        <is>
          <t>A 3615-2026</t>
        </is>
      </c>
      <c r="B101" t="inlineStr">
        <is>
          <t>avverkningsanmälan</t>
        </is>
      </c>
      <c r="C101" t="inlineStr">
        <is>
          <t>Föryngringsavverkning</t>
        </is>
      </c>
      <c r="D101" s="1" t="n">
        <v>46042</v>
      </c>
      <c r="E101" s="1" t="n">
        <v>46223</v>
      </c>
      <c r="F101" t="inlineStr">
        <is>
          <t>GÄVLEBORGS LÄN</t>
        </is>
      </c>
      <c r="G101" t="inlineStr">
        <is>
          <t>HOFORS</t>
        </is>
      </c>
      <c r="I101" t="n">
        <v>2.4</v>
      </c>
      <c r="J101" t="n">
        <v>0</v>
      </c>
      <c r="K101" t="n">
        <v>0</v>
      </c>
      <c r="L101" t="n">
        <v>0</v>
      </c>
      <c r="M101" t="n">
        <v>0</v>
      </c>
      <c r="N101" t="n">
        <v>0</v>
      </c>
      <c r="O101" t="n">
        <v>0</v>
      </c>
      <c r="P101" t="n">
        <v>0</v>
      </c>
      <c r="Q101" t="n">
        <v>0</v>
      </c>
      <c r="R101" t="n">
        <v>0</v>
      </c>
      <c r="S101" t="n">
        <v>0</v>
      </c>
      <c r="T101" t="n">
        <v>0</v>
      </c>
      <c r="U101" s="2" t="inlineStr"/>
    </row>
    <row r="102" ht="15" customHeight="1">
      <c r="A102" t="inlineStr">
        <is>
          <t>A 6963-2024</t>
        </is>
      </c>
      <c r="B102" t="inlineStr">
        <is>
          <t>avverkningsanmälan</t>
        </is>
      </c>
      <c r="C102" t="inlineStr">
        <is>
          <t>Föryngringsavverkning</t>
        </is>
      </c>
      <c r="D102" s="1" t="n">
        <v>45343</v>
      </c>
      <c r="E102" s="1" t="n">
        <v>46223</v>
      </c>
      <c r="F102" t="inlineStr">
        <is>
          <t>GÄVLEBORGS LÄN</t>
        </is>
      </c>
      <c r="G102" t="inlineStr">
        <is>
          <t>HOFORS</t>
        </is>
      </c>
      <c r="I102" t="n">
        <v>2.4</v>
      </c>
      <c r="J102" t="n">
        <v>0</v>
      </c>
      <c r="K102" t="n">
        <v>0</v>
      </c>
      <c r="L102" t="n">
        <v>0</v>
      </c>
      <c r="M102" t="n">
        <v>0</v>
      </c>
      <c r="N102" t="n">
        <v>0</v>
      </c>
      <c r="O102" t="n">
        <v>0</v>
      </c>
      <c r="P102" t="n">
        <v>0</v>
      </c>
      <c r="Q102" t="n">
        <v>0</v>
      </c>
      <c r="R102" t="n">
        <v>0</v>
      </c>
      <c r="S102" t="n">
        <v>0</v>
      </c>
      <c r="T102" t="n">
        <v>0</v>
      </c>
      <c r="U102" s="2" t="inlineStr"/>
    </row>
    <row r="103" ht="15" customHeight="1">
      <c r="A103" t="inlineStr">
        <is>
          <t>A 31645-2024</t>
        </is>
      </c>
      <c r="B103" t="inlineStr">
        <is>
          <t>avverkningsanmälan</t>
        </is>
      </c>
      <c r="C103" t="inlineStr">
        <is>
          <t>Föryngringsavverkning</t>
        </is>
      </c>
      <c r="D103" s="1" t="n">
        <v>45506</v>
      </c>
      <c r="E103" s="1" t="n">
        <v>46223</v>
      </c>
      <c r="F103" t="inlineStr">
        <is>
          <t>GÄVLEBORGS LÄN</t>
        </is>
      </c>
      <c r="G103" t="inlineStr">
        <is>
          <t>HOFORS</t>
        </is>
      </c>
      <c r="H103" t="inlineStr">
        <is>
          <t>Sveaskog</t>
        </is>
      </c>
      <c r="I103" t="n">
        <v>11.1</v>
      </c>
      <c r="J103" t="n">
        <v>0</v>
      </c>
      <c r="K103" t="n">
        <v>0</v>
      </c>
      <c r="L103" t="n">
        <v>0</v>
      </c>
      <c r="M103" t="n">
        <v>0</v>
      </c>
      <c r="N103" t="n">
        <v>0</v>
      </c>
      <c r="O103" t="n">
        <v>0</v>
      </c>
      <c r="P103" t="n">
        <v>0</v>
      </c>
      <c r="Q103" t="n">
        <v>0</v>
      </c>
      <c r="R103" t="n">
        <v>0</v>
      </c>
      <c r="S103" t="n">
        <v>0</v>
      </c>
      <c r="T103" t="n">
        <v>0</v>
      </c>
      <c r="U103" s="2" t="inlineStr"/>
    </row>
    <row r="104" ht="15" customHeight="1">
      <c r="A104" t="inlineStr">
        <is>
          <t>A 38741-2025</t>
        </is>
      </c>
      <c r="B104" t="inlineStr">
        <is>
          <t>avverkningsanmälan</t>
        </is>
      </c>
      <c r="C104" t="inlineStr">
        <is>
          <t>Föryngringsavverkning</t>
        </is>
      </c>
      <c r="D104" s="1" t="n">
        <v>45887</v>
      </c>
      <c r="E104" s="1" t="n">
        <v>46223</v>
      </c>
      <c r="F104" t="inlineStr">
        <is>
          <t>GÄVLEBORGS LÄN</t>
        </is>
      </c>
      <c r="G104" t="inlineStr">
        <is>
          <t>HOFORS</t>
        </is>
      </c>
      <c r="H104" t="inlineStr">
        <is>
          <t>Sveaskog</t>
        </is>
      </c>
      <c r="I104" t="n">
        <v>2.5</v>
      </c>
      <c r="J104" t="n">
        <v>0</v>
      </c>
      <c r="K104" t="n">
        <v>0</v>
      </c>
      <c r="L104" t="n">
        <v>0</v>
      </c>
      <c r="M104" t="n">
        <v>0</v>
      </c>
      <c r="N104" t="n">
        <v>0</v>
      </c>
      <c r="O104" t="n">
        <v>0</v>
      </c>
      <c r="P104" t="n">
        <v>0</v>
      </c>
      <c r="Q104" t="n">
        <v>0</v>
      </c>
      <c r="R104" t="n">
        <v>0</v>
      </c>
      <c r="S104" t="n">
        <v>0</v>
      </c>
      <c r="T104" t="n">
        <v>0</v>
      </c>
      <c r="U104" s="2" t="inlineStr"/>
    </row>
    <row r="105" ht="15" customHeight="1">
      <c r="A105" t="inlineStr">
        <is>
          <t>A 11813-2024</t>
        </is>
      </c>
      <c r="B105" t="inlineStr">
        <is>
          <t>avverkningsanmälan</t>
        </is>
      </c>
      <c r="C105" t="inlineStr">
        <is>
          <t>Föryngringsavverkning</t>
        </is>
      </c>
      <c r="D105" s="1" t="n">
        <v>45376</v>
      </c>
      <c r="E105" s="1" t="n">
        <v>46223</v>
      </c>
      <c r="F105" t="inlineStr">
        <is>
          <t>GÄVLEBORGS LÄN</t>
        </is>
      </c>
      <c r="G105" t="inlineStr">
        <is>
          <t>HOFORS</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54149-2023</t>
        </is>
      </c>
      <c r="B106" t="inlineStr">
        <is>
          <t>avverkningsanmälan</t>
        </is>
      </c>
      <c r="C106" t="inlineStr">
        <is>
          <t>Föryngringsavverkning</t>
        </is>
      </c>
      <c r="D106" s="1" t="n">
        <v>45232</v>
      </c>
      <c r="E106" s="1" t="n">
        <v>46223</v>
      </c>
      <c r="F106" t="inlineStr">
        <is>
          <t>GÄVLEBORGS LÄN</t>
        </is>
      </c>
      <c r="G106" t="inlineStr">
        <is>
          <t>HOFORS</t>
        </is>
      </c>
      <c r="I106" t="n">
        <v>4.6</v>
      </c>
      <c r="J106" t="n">
        <v>0</v>
      </c>
      <c r="K106" t="n">
        <v>0</v>
      </c>
      <c r="L106" t="n">
        <v>0</v>
      </c>
      <c r="M106" t="n">
        <v>0</v>
      </c>
      <c r="N106" t="n">
        <v>0</v>
      </c>
      <c r="O106" t="n">
        <v>0</v>
      </c>
      <c r="P106" t="n">
        <v>0</v>
      </c>
      <c r="Q106" t="n">
        <v>0</v>
      </c>
      <c r="R106" t="n">
        <v>0</v>
      </c>
      <c r="S106" t="n">
        <v>0</v>
      </c>
      <c r="T106" t="n">
        <v>0</v>
      </c>
      <c r="U106" s="2" t="inlineStr"/>
    </row>
    <row r="107" ht="15" customHeight="1">
      <c r="A107" t="inlineStr">
        <is>
          <t>A 40407-2025</t>
        </is>
      </c>
      <c r="B107" t="inlineStr">
        <is>
          <t>avverkningsanmälan</t>
        </is>
      </c>
      <c r="C107" t="inlineStr">
        <is>
          <t>Avverkning för att bevara och utveckla /försöksver</t>
        </is>
      </c>
      <c r="D107" s="1" t="n">
        <v>45895</v>
      </c>
      <c r="E107" s="1" t="n">
        <v>46223</v>
      </c>
      <c r="F107" t="inlineStr">
        <is>
          <t>GÄVLEBORGS LÄN</t>
        </is>
      </c>
      <c r="G107" t="inlineStr">
        <is>
          <t>HOFORS</t>
        </is>
      </c>
      <c r="H107" t="inlineStr">
        <is>
          <t>Sveaskog</t>
        </is>
      </c>
      <c r="I107" t="n">
        <v>2.2</v>
      </c>
      <c r="J107" t="n">
        <v>0</v>
      </c>
      <c r="K107" t="n">
        <v>0</v>
      </c>
      <c r="L107" t="n">
        <v>0</v>
      </c>
      <c r="M107" t="n">
        <v>0</v>
      </c>
      <c r="N107" t="n">
        <v>0</v>
      </c>
      <c r="O107" t="n">
        <v>0</v>
      </c>
      <c r="P107" t="n">
        <v>0</v>
      </c>
      <c r="Q107" t="n">
        <v>0</v>
      </c>
      <c r="R107" t="n">
        <v>0</v>
      </c>
      <c r="S107" t="n">
        <v>0</v>
      </c>
      <c r="T107" t="n">
        <v>0</v>
      </c>
      <c r="U107" s="2" t="inlineStr"/>
    </row>
    <row r="108" ht="15" customHeight="1">
      <c r="A108" t="inlineStr">
        <is>
          <t>A 26302-2025</t>
        </is>
      </c>
      <c r="B108" t="inlineStr">
        <is>
          <t>avverkningsanmälan</t>
        </is>
      </c>
      <c r="C108" t="inlineStr">
        <is>
          <t>Avverkning för annat ändamål</t>
        </is>
      </c>
      <c r="D108" s="1" t="n">
        <v>45805</v>
      </c>
      <c r="E108" s="1" t="n">
        <v>46223</v>
      </c>
      <c r="F108" t="inlineStr">
        <is>
          <t>GÄVLEBORGS LÄN</t>
        </is>
      </c>
      <c r="G108" t="inlineStr">
        <is>
          <t>HOFORS</t>
        </is>
      </c>
      <c r="I108" t="n">
        <v>5.3</v>
      </c>
      <c r="J108" t="n">
        <v>0</v>
      </c>
      <c r="K108" t="n">
        <v>0</v>
      </c>
      <c r="L108" t="n">
        <v>0</v>
      </c>
      <c r="M108" t="n">
        <v>0</v>
      </c>
      <c r="N108" t="n">
        <v>0</v>
      </c>
      <c r="O108" t="n">
        <v>0</v>
      </c>
      <c r="P108" t="n">
        <v>0</v>
      </c>
      <c r="Q108" t="n">
        <v>0</v>
      </c>
      <c r="R108" t="n">
        <v>0</v>
      </c>
      <c r="S108" t="n">
        <v>0</v>
      </c>
      <c r="T108" t="n">
        <v>0</v>
      </c>
      <c r="U108" s="2" t="inlineStr"/>
    </row>
    <row r="109" ht="15" customHeight="1">
      <c r="A109" t="inlineStr">
        <is>
          <t>A 36283-2024</t>
        </is>
      </c>
      <c r="B109" t="inlineStr">
        <is>
          <t>avverkningsanmälan</t>
        </is>
      </c>
      <c r="C109" t="inlineStr">
        <is>
          <t>Föryngringsavverkning</t>
        </is>
      </c>
      <c r="D109" s="1" t="n">
        <v>45534</v>
      </c>
      <c r="E109" s="1" t="n">
        <v>46223</v>
      </c>
      <c r="F109" t="inlineStr">
        <is>
          <t>GÄVLEBORGS LÄN</t>
        </is>
      </c>
      <c r="G109" t="inlineStr">
        <is>
          <t>HOFORS</t>
        </is>
      </c>
      <c r="H109" t="inlineStr">
        <is>
          <t>Sveaskog</t>
        </is>
      </c>
      <c r="I109" t="n">
        <v>6.9</v>
      </c>
      <c r="J109" t="n">
        <v>0</v>
      </c>
      <c r="K109" t="n">
        <v>0</v>
      </c>
      <c r="L109" t="n">
        <v>0</v>
      </c>
      <c r="M109" t="n">
        <v>0</v>
      </c>
      <c r="N109" t="n">
        <v>0</v>
      </c>
      <c r="O109" t="n">
        <v>0</v>
      </c>
      <c r="P109" t="n">
        <v>0</v>
      </c>
      <c r="Q109" t="n">
        <v>0</v>
      </c>
      <c r="R109" t="n">
        <v>0</v>
      </c>
      <c r="S109" t="n">
        <v>0</v>
      </c>
      <c r="T109" t="n">
        <v>0</v>
      </c>
      <c r="U109" s="2" t="inlineStr"/>
    </row>
    <row r="110" ht="15" customHeight="1">
      <c r="A110" t="inlineStr">
        <is>
          <t>A 41569-2025</t>
        </is>
      </c>
      <c r="B110" t="inlineStr">
        <is>
          <t>avverkningsanmälan</t>
        </is>
      </c>
      <c r="C110" t="inlineStr">
        <is>
          <t>Föryngringsavverkning</t>
        </is>
      </c>
      <c r="D110" s="1" t="n">
        <v>45901</v>
      </c>
      <c r="E110" s="1" t="n">
        <v>46223</v>
      </c>
      <c r="F110" t="inlineStr">
        <is>
          <t>GÄVLEBORGS LÄN</t>
        </is>
      </c>
      <c r="G110" t="inlineStr">
        <is>
          <t>HOFORS</t>
        </is>
      </c>
      <c r="H110" t="inlineStr">
        <is>
          <t>Sveaskog</t>
        </is>
      </c>
      <c r="I110" t="n">
        <v>1.7</v>
      </c>
      <c r="J110" t="n">
        <v>0</v>
      </c>
      <c r="K110" t="n">
        <v>0</v>
      </c>
      <c r="L110" t="n">
        <v>0</v>
      </c>
      <c r="M110" t="n">
        <v>0</v>
      </c>
      <c r="N110" t="n">
        <v>0</v>
      </c>
      <c r="O110" t="n">
        <v>0</v>
      </c>
      <c r="P110" t="n">
        <v>0</v>
      </c>
      <c r="Q110" t="n">
        <v>0</v>
      </c>
      <c r="R110" t="n">
        <v>0</v>
      </c>
      <c r="S110" t="n">
        <v>0</v>
      </c>
      <c r="T110" t="n">
        <v>0</v>
      </c>
      <c r="U110" s="2" t="inlineStr"/>
    </row>
    <row r="111" ht="15" customHeight="1">
      <c r="A111" t="inlineStr">
        <is>
          <t>A 16371-2022</t>
        </is>
      </c>
      <c r="B111" t="inlineStr">
        <is>
          <t>avverkningsanmälan</t>
        </is>
      </c>
      <c r="C111" t="inlineStr">
        <is>
          <t>Föryngringsavverkning</t>
        </is>
      </c>
      <c r="D111" s="1" t="n">
        <v>44671</v>
      </c>
      <c r="E111" s="1" t="n">
        <v>46223</v>
      </c>
      <c r="F111" t="inlineStr">
        <is>
          <t>GÄVLEBORGS LÄN</t>
        </is>
      </c>
      <c r="G111" t="inlineStr">
        <is>
          <t>HOFORS</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41620-2025</t>
        </is>
      </c>
      <c r="B112" t="inlineStr">
        <is>
          <t>avverkningsanmälan</t>
        </is>
      </c>
      <c r="C112" t="inlineStr">
        <is>
          <t>Föryngringsavverkning</t>
        </is>
      </c>
      <c r="D112" s="1" t="n">
        <v>45901</v>
      </c>
      <c r="E112" s="1" t="n">
        <v>46223</v>
      </c>
      <c r="F112" t="inlineStr">
        <is>
          <t>GÄVLEBORGS LÄN</t>
        </is>
      </c>
      <c r="G112" t="inlineStr">
        <is>
          <t>HOFORS</t>
        </is>
      </c>
      <c r="H112" t="inlineStr">
        <is>
          <t>Sveaskog</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31471-2025</t>
        </is>
      </c>
      <c r="B113" t="inlineStr">
        <is>
          <t>avverkningsanmälan</t>
        </is>
      </c>
      <c r="C113" t="inlineStr">
        <is>
          <t>Föryngringsavverkning</t>
        </is>
      </c>
      <c r="D113" s="1" t="n">
        <v>45833</v>
      </c>
      <c r="E113" s="1" t="n">
        <v>46223</v>
      </c>
      <c r="F113" t="inlineStr">
        <is>
          <t>GÄVLEBORGS LÄN</t>
        </is>
      </c>
      <c r="G113" t="inlineStr">
        <is>
          <t>HOFORS</t>
        </is>
      </c>
      <c r="I113" t="n">
        <v>1.6</v>
      </c>
      <c r="J113" t="n">
        <v>0</v>
      </c>
      <c r="K113" t="n">
        <v>0</v>
      </c>
      <c r="L113" t="n">
        <v>0</v>
      </c>
      <c r="M113" t="n">
        <v>0</v>
      </c>
      <c r="N113" t="n">
        <v>0</v>
      </c>
      <c r="O113" t="n">
        <v>0</v>
      </c>
      <c r="P113" t="n">
        <v>0</v>
      </c>
      <c r="Q113" t="n">
        <v>0</v>
      </c>
      <c r="R113" t="n">
        <v>0</v>
      </c>
      <c r="S113" t="n">
        <v>0</v>
      </c>
      <c r="T113" t="n">
        <v>0</v>
      </c>
      <c r="U113" s="2" t="inlineStr"/>
    </row>
    <row r="114" ht="15" customHeight="1">
      <c r="A114" t="inlineStr">
        <is>
          <t>A 47359-2024</t>
        </is>
      </c>
      <c r="B114" t="inlineStr">
        <is>
          <t>avverkningsanmälan</t>
        </is>
      </c>
      <c r="C114" t="inlineStr">
        <is>
          <t>Föryngringsavverkning</t>
        </is>
      </c>
      <c r="D114" s="1" t="n">
        <v>45587</v>
      </c>
      <c r="E114" s="1" t="n">
        <v>46223</v>
      </c>
      <c r="F114" t="inlineStr">
        <is>
          <t>GÄVLEBORGS LÄN</t>
        </is>
      </c>
      <c r="G114" t="inlineStr">
        <is>
          <t>HOFORS</t>
        </is>
      </c>
      <c r="I114" t="n">
        <v>1.2</v>
      </c>
      <c r="J114" t="n">
        <v>0</v>
      </c>
      <c r="K114" t="n">
        <v>0</v>
      </c>
      <c r="L114" t="n">
        <v>0</v>
      </c>
      <c r="M114" t="n">
        <v>0</v>
      </c>
      <c r="N114" t="n">
        <v>0</v>
      </c>
      <c r="O114" t="n">
        <v>0</v>
      </c>
      <c r="P114" t="n">
        <v>0</v>
      </c>
      <c r="Q114" t="n">
        <v>0</v>
      </c>
      <c r="R114" t="n">
        <v>0</v>
      </c>
      <c r="S114" t="n">
        <v>0</v>
      </c>
      <c r="T114" t="n">
        <v>0</v>
      </c>
      <c r="U114" s="2" t="inlineStr"/>
    </row>
    <row r="115" ht="15" customHeight="1">
      <c r="A115" t="inlineStr">
        <is>
          <t>A 23355-2024</t>
        </is>
      </c>
      <c r="B115" t="inlineStr">
        <is>
          <t>avverkningsanmälan</t>
        </is>
      </c>
      <c r="C115" t="inlineStr">
        <is>
          <t>Föryngringsavverkning</t>
        </is>
      </c>
      <c r="D115" s="1" t="n">
        <v>45453</v>
      </c>
      <c r="E115" s="1" t="n">
        <v>46223</v>
      </c>
      <c r="F115" t="inlineStr">
        <is>
          <t>GÄVLEBORGS LÄN</t>
        </is>
      </c>
      <c r="G115" t="inlineStr">
        <is>
          <t>HOFORS</t>
        </is>
      </c>
      <c r="H115" t="inlineStr">
        <is>
          <t>Sveaskog</t>
        </is>
      </c>
      <c r="I115" t="n">
        <v>1.2</v>
      </c>
      <c r="J115" t="n">
        <v>0</v>
      </c>
      <c r="K115" t="n">
        <v>0</v>
      </c>
      <c r="L115" t="n">
        <v>0</v>
      </c>
      <c r="M115" t="n">
        <v>0</v>
      </c>
      <c r="N115" t="n">
        <v>0</v>
      </c>
      <c r="O115" t="n">
        <v>0</v>
      </c>
      <c r="P115" t="n">
        <v>0</v>
      </c>
      <c r="Q115" t="n">
        <v>0</v>
      </c>
      <c r="R115" t="n">
        <v>0</v>
      </c>
      <c r="S115" t="n">
        <v>0</v>
      </c>
      <c r="T115" t="n">
        <v>0</v>
      </c>
      <c r="U115" s="2" t="inlineStr"/>
    </row>
    <row r="116" ht="15" customHeight="1">
      <c r="A116" t="inlineStr">
        <is>
          <t>A 5549-2026</t>
        </is>
      </c>
      <c r="B116" t="inlineStr">
        <is>
          <t>avverkningsanmälan</t>
        </is>
      </c>
      <c r="C116" t="inlineStr">
        <is>
          <t>Föryngringsavverkning</t>
        </is>
      </c>
      <c r="D116" s="1" t="n">
        <v>46050</v>
      </c>
      <c r="E116" s="1" t="n">
        <v>46223</v>
      </c>
      <c r="F116" t="inlineStr">
        <is>
          <t>GÄVLEBORGS LÄN</t>
        </is>
      </c>
      <c r="G116" t="inlineStr">
        <is>
          <t>HOFORS</t>
        </is>
      </c>
      <c r="I116" t="n">
        <v>2.4</v>
      </c>
      <c r="J116" t="n">
        <v>0</v>
      </c>
      <c r="K116" t="n">
        <v>0</v>
      </c>
      <c r="L116" t="n">
        <v>0</v>
      </c>
      <c r="M116" t="n">
        <v>0</v>
      </c>
      <c r="N116" t="n">
        <v>0</v>
      </c>
      <c r="O116" t="n">
        <v>0</v>
      </c>
      <c r="P116" t="n">
        <v>0</v>
      </c>
      <c r="Q116" t="n">
        <v>0</v>
      </c>
      <c r="R116" t="n">
        <v>0</v>
      </c>
      <c r="S116" t="n">
        <v>0</v>
      </c>
      <c r="T116" t="n">
        <v>0</v>
      </c>
      <c r="U116" s="2" t="inlineStr"/>
    </row>
    <row r="117" ht="15" customHeight="1">
      <c r="A117" t="inlineStr">
        <is>
          <t>A 32299-2025</t>
        </is>
      </c>
      <c r="B117" t="inlineStr">
        <is>
          <t>avverkningsanmälan</t>
        </is>
      </c>
      <c r="C117" t="inlineStr">
        <is>
          <t>Föryngringsavverkning</t>
        </is>
      </c>
      <c r="D117" s="1" t="n">
        <v>45835</v>
      </c>
      <c r="E117" s="1" t="n">
        <v>46223</v>
      </c>
      <c r="F117" t="inlineStr">
        <is>
          <t>GÄVLEBORGS LÄN</t>
        </is>
      </c>
      <c r="G117" t="inlineStr">
        <is>
          <t>HOFORS</t>
        </is>
      </c>
      <c r="H117" t="inlineStr">
        <is>
          <t>Bergvik skog väst AB</t>
        </is>
      </c>
      <c r="I117" t="n">
        <v>12.8</v>
      </c>
      <c r="J117" t="n">
        <v>0</v>
      </c>
      <c r="K117" t="n">
        <v>0</v>
      </c>
      <c r="L117" t="n">
        <v>0</v>
      </c>
      <c r="M117" t="n">
        <v>0</v>
      </c>
      <c r="N117" t="n">
        <v>0</v>
      </c>
      <c r="O117" t="n">
        <v>0</v>
      </c>
      <c r="P117" t="n">
        <v>0</v>
      </c>
      <c r="Q117" t="n">
        <v>0</v>
      </c>
      <c r="R117" t="n">
        <v>0</v>
      </c>
      <c r="S117" t="n">
        <v>0</v>
      </c>
      <c r="T117" t="n">
        <v>0</v>
      </c>
      <c r="U117" s="2" t="inlineStr"/>
    </row>
    <row r="118" ht="15" customHeight="1">
      <c r="A118" t="inlineStr">
        <is>
          <t>A 44692-2025</t>
        </is>
      </c>
      <c r="B118" t="inlineStr">
        <is>
          <t>avverkningsanmälan</t>
        </is>
      </c>
      <c r="C118" t="inlineStr">
        <is>
          <t>Föryngringsavverkning</t>
        </is>
      </c>
      <c r="D118" s="1" t="n">
        <v>45917</v>
      </c>
      <c r="E118" s="1" t="n">
        <v>46223</v>
      </c>
      <c r="F118" t="inlineStr">
        <is>
          <t>GÄVLEBORGS LÄN</t>
        </is>
      </c>
      <c r="G118" t="inlineStr">
        <is>
          <t>HOFORS</t>
        </is>
      </c>
      <c r="H118" t="inlineStr">
        <is>
          <t>Sveaskog</t>
        </is>
      </c>
      <c r="I118" t="n">
        <v>5.4</v>
      </c>
      <c r="J118" t="n">
        <v>0</v>
      </c>
      <c r="K118" t="n">
        <v>0</v>
      </c>
      <c r="L118" t="n">
        <v>0</v>
      </c>
      <c r="M118" t="n">
        <v>0</v>
      </c>
      <c r="N118" t="n">
        <v>0</v>
      </c>
      <c r="O118" t="n">
        <v>0</v>
      </c>
      <c r="P118" t="n">
        <v>0</v>
      </c>
      <c r="Q118" t="n">
        <v>0</v>
      </c>
      <c r="R118" t="n">
        <v>0</v>
      </c>
      <c r="S118" t="n">
        <v>0</v>
      </c>
      <c r="T118" t="n">
        <v>0</v>
      </c>
      <c r="U118" s="2" t="inlineStr"/>
    </row>
    <row r="119" ht="15" customHeight="1">
      <c r="A119" t="inlineStr">
        <is>
          <t>A 6929-2023</t>
        </is>
      </c>
      <c r="B119" t="inlineStr">
        <is>
          <t>avverkningsanmälan</t>
        </is>
      </c>
      <c r="C119" t="inlineStr">
        <is>
          <t>Föryngringsavverkning</t>
        </is>
      </c>
      <c r="D119" s="1" t="n">
        <v>44967</v>
      </c>
      <c r="E119" s="1" t="n">
        <v>46223</v>
      </c>
      <c r="F119" t="inlineStr">
        <is>
          <t>GÄVLEBORGS LÄN</t>
        </is>
      </c>
      <c r="G119" t="inlineStr">
        <is>
          <t>HOFORS</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47249-2025</t>
        </is>
      </c>
      <c r="B120" t="inlineStr">
        <is>
          <t>avverkningsanmälan</t>
        </is>
      </c>
      <c r="C120" t="inlineStr">
        <is>
          <t>Föryngringsavverkning</t>
        </is>
      </c>
      <c r="D120" s="1" t="n">
        <v>45930</v>
      </c>
      <c r="E120" s="1" t="n">
        <v>46223</v>
      </c>
      <c r="F120" t="inlineStr">
        <is>
          <t>GÄVLEBORGS LÄN</t>
        </is>
      </c>
      <c r="G120" t="inlineStr">
        <is>
          <t>HOFORS</t>
        </is>
      </c>
      <c r="I120" t="n">
        <v>1.6</v>
      </c>
      <c r="J120" t="n">
        <v>0</v>
      </c>
      <c r="K120" t="n">
        <v>0</v>
      </c>
      <c r="L120" t="n">
        <v>0</v>
      </c>
      <c r="M120" t="n">
        <v>0</v>
      </c>
      <c r="N120" t="n">
        <v>0</v>
      </c>
      <c r="O120" t="n">
        <v>0</v>
      </c>
      <c r="P120" t="n">
        <v>0</v>
      </c>
      <c r="Q120" t="n">
        <v>0</v>
      </c>
      <c r="R120" t="n">
        <v>0</v>
      </c>
      <c r="S120" t="n">
        <v>0</v>
      </c>
      <c r="T120" t="n">
        <v>0</v>
      </c>
      <c r="U120" s="2" t="inlineStr"/>
    </row>
    <row r="121" ht="15" customHeight="1">
      <c r="A121" t="inlineStr">
        <is>
          <t>A 47091-2025</t>
        </is>
      </c>
      <c r="B121" t="inlineStr">
        <is>
          <t>avverkningsanmälan</t>
        </is>
      </c>
      <c r="C121" t="inlineStr">
        <is>
          <t>Föryngringsavverkning</t>
        </is>
      </c>
      <c r="D121" s="1" t="n">
        <v>45929</v>
      </c>
      <c r="E121" s="1" t="n">
        <v>46223</v>
      </c>
      <c r="F121" t="inlineStr">
        <is>
          <t>GÄVLEBORGS LÄN</t>
        </is>
      </c>
      <c r="G121" t="inlineStr">
        <is>
          <t>HOFORS</t>
        </is>
      </c>
      <c r="I121" t="n">
        <v>3.7</v>
      </c>
      <c r="J121" t="n">
        <v>0</v>
      </c>
      <c r="K121" t="n">
        <v>0</v>
      </c>
      <c r="L121" t="n">
        <v>0</v>
      </c>
      <c r="M121" t="n">
        <v>0</v>
      </c>
      <c r="N121" t="n">
        <v>0</v>
      </c>
      <c r="O121" t="n">
        <v>0</v>
      </c>
      <c r="P121" t="n">
        <v>0</v>
      </c>
      <c r="Q121" t="n">
        <v>0</v>
      </c>
      <c r="R121" t="n">
        <v>0</v>
      </c>
      <c r="S121" t="n">
        <v>0</v>
      </c>
      <c r="T121" t="n">
        <v>0</v>
      </c>
      <c r="U121" s="2" t="inlineStr"/>
    </row>
    <row r="122" ht="15" customHeight="1">
      <c r="A122" t="inlineStr">
        <is>
          <t>A 48232-2025</t>
        </is>
      </c>
      <c r="B122" t="inlineStr">
        <is>
          <t>avverkningsanmälan</t>
        </is>
      </c>
      <c r="C122" t="inlineStr">
        <is>
          <t>Föryngringsavverkning</t>
        </is>
      </c>
      <c r="D122" s="1" t="n">
        <v>45933</v>
      </c>
      <c r="E122" s="1" t="n">
        <v>46223</v>
      </c>
      <c r="F122" t="inlineStr">
        <is>
          <t>GÄVLEBORGS LÄN</t>
        </is>
      </c>
      <c r="G122" t="inlineStr">
        <is>
          <t>HOFORS</t>
        </is>
      </c>
      <c r="H122" t="inlineStr">
        <is>
          <t>Sveaskog</t>
        </is>
      </c>
      <c r="I122" t="n">
        <v>1</v>
      </c>
      <c r="J122" t="n">
        <v>0</v>
      </c>
      <c r="K122" t="n">
        <v>0</v>
      </c>
      <c r="L122" t="n">
        <v>0</v>
      </c>
      <c r="M122" t="n">
        <v>0</v>
      </c>
      <c r="N122" t="n">
        <v>0</v>
      </c>
      <c r="O122" t="n">
        <v>0</v>
      </c>
      <c r="P122" t="n">
        <v>0</v>
      </c>
      <c r="Q122" t="n">
        <v>0</v>
      </c>
      <c r="R122" t="n">
        <v>0</v>
      </c>
      <c r="S122" t="n">
        <v>0</v>
      </c>
      <c r="T122" t="n">
        <v>0</v>
      </c>
      <c r="U122" s="2" t="inlineStr"/>
    </row>
    <row r="123" ht="15" customHeight="1">
      <c r="A123" t="inlineStr">
        <is>
          <t>A 11607-2023</t>
        </is>
      </c>
      <c r="B123" t="inlineStr">
        <is>
          <t>avverkningsanmälan</t>
        </is>
      </c>
      <c r="C123" t="inlineStr">
        <is>
          <t>Föryngringsavverkning</t>
        </is>
      </c>
      <c r="D123" s="1" t="n">
        <v>44994</v>
      </c>
      <c r="E123" s="1" t="n">
        <v>46223</v>
      </c>
      <c r="F123" t="inlineStr">
        <is>
          <t>GÄVLEBORGS LÄN</t>
        </is>
      </c>
      <c r="G123" t="inlineStr">
        <is>
          <t>HOFORS</t>
        </is>
      </c>
      <c r="H123" t="inlineStr">
        <is>
          <t>Övriga statliga verk och myndigheter</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48612-2025</t>
        </is>
      </c>
      <c r="B124" t="inlineStr">
        <is>
          <t>avverkningsanmälan</t>
        </is>
      </c>
      <c r="C124" t="inlineStr">
        <is>
          <t>Föryngringsavverkning</t>
        </is>
      </c>
      <c r="D124" s="1" t="n">
        <v>45935</v>
      </c>
      <c r="E124" s="1" t="n">
        <v>46223</v>
      </c>
      <c r="F124" t="inlineStr">
        <is>
          <t>GÄVLEBORGS LÄN</t>
        </is>
      </c>
      <c r="G124" t="inlineStr">
        <is>
          <t>HOFORS</t>
        </is>
      </c>
      <c r="H124" t="inlineStr">
        <is>
          <t>Bergvik skog väst AB</t>
        </is>
      </c>
      <c r="I124" t="n">
        <v>5.3</v>
      </c>
      <c r="J124" t="n">
        <v>0</v>
      </c>
      <c r="K124" t="n">
        <v>0</v>
      </c>
      <c r="L124" t="n">
        <v>0</v>
      </c>
      <c r="M124" t="n">
        <v>0</v>
      </c>
      <c r="N124" t="n">
        <v>0</v>
      </c>
      <c r="O124" t="n">
        <v>0</v>
      </c>
      <c r="P124" t="n">
        <v>0</v>
      </c>
      <c r="Q124" t="n">
        <v>0</v>
      </c>
      <c r="R124" t="n">
        <v>0</v>
      </c>
      <c r="S124" t="n">
        <v>0</v>
      </c>
      <c r="T124" t="n">
        <v>0</v>
      </c>
      <c r="U124" s="2" t="inlineStr"/>
    </row>
    <row r="125" ht="15" customHeight="1">
      <c r="A125" t="inlineStr">
        <is>
          <t>A 48231-2025</t>
        </is>
      </c>
      <c r="B125" t="inlineStr">
        <is>
          <t>avverkningsanmälan</t>
        </is>
      </c>
      <c r="C125" t="inlineStr">
        <is>
          <t>Föryngringsavverkning</t>
        </is>
      </c>
      <c r="D125" s="1" t="n">
        <v>45933</v>
      </c>
      <c r="E125" s="1" t="n">
        <v>46223</v>
      </c>
      <c r="F125" t="inlineStr">
        <is>
          <t>GÄVLEBORGS LÄN</t>
        </is>
      </c>
      <c r="G125" t="inlineStr">
        <is>
          <t>HOFORS</t>
        </is>
      </c>
      <c r="H125" t="inlineStr">
        <is>
          <t>Sveaskog</t>
        </is>
      </c>
      <c r="I125" t="n">
        <v>2.7</v>
      </c>
      <c r="J125" t="n">
        <v>0</v>
      </c>
      <c r="K125" t="n">
        <v>0</v>
      </c>
      <c r="L125" t="n">
        <v>0</v>
      </c>
      <c r="M125" t="n">
        <v>0</v>
      </c>
      <c r="N125" t="n">
        <v>0</v>
      </c>
      <c r="O125" t="n">
        <v>0</v>
      </c>
      <c r="P125" t="n">
        <v>0</v>
      </c>
      <c r="Q125" t="n">
        <v>0</v>
      </c>
      <c r="R125" t="n">
        <v>0</v>
      </c>
      <c r="S125" t="n">
        <v>0</v>
      </c>
      <c r="T125" t="n">
        <v>0</v>
      </c>
      <c r="U125" s="2" t="inlineStr"/>
    </row>
    <row r="126" ht="15" customHeight="1">
      <c r="A126" t="inlineStr">
        <is>
          <t>A 27959-2025</t>
        </is>
      </c>
      <c r="B126" t="inlineStr">
        <is>
          <t>avverkningsanmälan</t>
        </is>
      </c>
      <c r="C126" t="inlineStr">
        <is>
          <t>Föryngringsavverkning</t>
        </is>
      </c>
      <c r="D126" s="1" t="n">
        <v>45816</v>
      </c>
      <c r="E126" s="1" t="n">
        <v>46223</v>
      </c>
      <c r="F126" t="inlineStr">
        <is>
          <t>GÄVLEBORGS LÄN</t>
        </is>
      </c>
      <c r="G126" t="inlineStr">
        <is>
          <t>HOFORS</t>
        </is>
      </c>
      <c r="H126" t="inlineStr">
        <is>
          <t>Bergvik skog väst AB</t>
        </is>
      </c>
      <c r="I126" t="n">
        <v>45.6</v>
      </c>
      <c r="J126" t="n">
        <v>0</v>
      </c>
      <c r="K126" t="n">
        <v>0</v>
      </c>
      <c r="L126" t="n">
        <v>0</v>
      </c>
      <c r="M126" t="n">
        <v>0</v>
      </c>
      <c r="N126" t="n">
        <v>0</v>
      </c>
      <c r="O126" t="n">
        <v>0</v>
      </c>
      <c r="P126" t="n">
        <v>0</v>
      </c>
      <c r="Q126" t="n">
        <v>0</v>
      </c>
      <c r="R126" t="n">
        <v>0</v>
      </c>
      <c r="S126" t="n">
        <v>0</v>
      </c>
      <c r="T126" t="n">
        <v>0</v>
      </c>
      <c r="U126" s="2" t="inlineStr"/>
    </row>
    <row r="127" ht="15" customHeight="1">
      <c r="A127" t="inlineStr">
        <is>
          <t>A 48240-2025</t>
        </is>
      </c>
      <c r="B127" t="inlineStr">
        <is>
          <t>avverkningsanmälan</t>
        </is>
      </c>
      <c r="C127" t="inlineStr">
        <is>
          <t>Föryngringsavverkning</t>
        </is>
      </c>
      <c r="D127" s="1" t="n">
        <v>45933</v>
      </c>
      <c r="E127" s="1" t="n">
        <v>46223</v>
      </c>
      <c r="F127" t="inlineStr">
        <is>
          <t>GÄVLEBORGS LÄN</t>
        </is>
      </c>
      <c r="G127" t="inlineStr">
        <is>
          <t>HOFORS</t>
        </is>
      </c>
      <c r="H127" t="inlineStr">
        <is>
          <t>Sveaskog</t>
        </is>
      </c>
      <c r="I127" t="n">
        <v>1.3</v>
      </c>
      <c r="J127" t="n">
        <v>0</v>
      </c>
      <c r="K127" t="n">
        <v>0</v>
      </c>
      <c r="L127" t="n">
        <v>0</v>
      </c>
      <c r="M127" t="n">
        <v>0</v>
      </c>
      <c r="N127" t="n">
        <v>0</v>
      </c>
      <c r="O127" t="n">
        <v>0</v>
      </c>
      <c r="P127" t="n">
        <v>0</v>
      </c>
      <c r="Q127" t="n">
        <v>0</v>
      </c>
      <c r="R127" t="n">
        <v>0</v>
      </c>
      <c r="S127" t="n">
        <v>0</v>
      </c>
      <c r="T127" t="n">
        <v>0</v>
      </c>
      <c r="U127" s="2" t="inlineStr"/>
    </row>
    <row r="128" ht="15" customHeight="1">
      <c r="A128" t="inlineStr">
        <is>
          <t>A 36349-2025</t>
        </is>
      </c>
      <c r="B128" t="inlineStr">
        <is>
          <t>avverkningsanmälan</t>
        </is>
      </c>
      <c r="C128" t="inlineStr">
        <is>
          <t>Föryngringsavverkning</t>
        </is>
      </c>
      <c r="D128" s="1" t="n">
        <v>45868</v>
      </c>
      <c r="E128" s="1" t="n">
        <v>46223</v>
      </c>
      <c r="F128" t="inlineStr">
        <is>
          <t>GÄVLEBORGS LÄN</t>
        </is>
      </c>
      <c r="G128" t="inlineStr">
        <is>
          <t>HOFORS</t>
        </is>
      </c>
      <c r="I128" t="n">
        <v>2.7</v>
      </c>
      <c r="J128" t="n">
        <v>0</v>
      </c>
      <c r="K128" t="n">
        <v>0</v>
      </c>
      <c r="L128" t="n">
        <v>0</v>
      </c>
      <c r="M128" t="n">
        <v>0</v>
      </c>
      <c r="N128" t="n">
        <v>0</v>
      </c>
      <c r="O128" t="n">
        <v>0</v>
      </c>
      <c r="P128" t="n">
        <v>0</v>
      </c>
      <c r="Q128" t="n">
        <v>0</v>
      </c>
      <c r="R128" t="n">
        <v>0</v>
      </c>
      <c r="S128" t="n">
        <v>0</v>
      </c>
      <c r="T128" t="n">
        <v>0</v>
      </c>
      <c r="U128" s="2" t="inlineStr"/>
    </row>
    <row r="129" ht="15" customHeight="1">
      <c r="A129" t="inlineStr">
        <is>
          <t>A 48241-2025</t>
        </is>
      </c>
      <c r="B129" t="inlineStr">
        <is>
          <t>avverkningsanmälan</t>
        </is>
      </c>
      <c r="C129" t="inlineStr">
        <is>
          <t>Föryngringsavverkning</t>
        </is>
      </c>
      <c r="D129" s="1" t="n">
        <v>45933</v>
      </c>
      <c r="E129" s="1" t="n">
        <v>46223</v>
      </c>
      <c r="F129" t="inlineStr">
        <is>
          <t>GÄVLEBORGS LÄN</t>
        </is>
      </c>
      <c r="G129" t="inlineStr">
        <is>
          <t>HOFORS</t>
        </is>
      </c>
      <c r="H129" t="inlineStr">
        <is>
          <t>Sveaskog</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37444-2025</t>
        </is>
      </c>
      <c r="B130" t="inlineStr">
        <is>
          <t>avverkningsanmälan</t>
        </is>
      </c>
      <c r="C130" t="inlineStr">
        <is>
          <t>Föryngringsavverkning</t>
        </is>
      </c>
      <c r="D130" s="1" t="n">
        <v>45877</v>
      </c>
      <c r="E130" s="1" t="n">
        <v>46223</v>
      </c>
      <c r="F130" t="inlineStr">
        <is>
          <t>GÄVLEBORGS LÄN</t>
        </is>
      </c>
      <c r="G130" t="inlineStr">
        <is>
          <t>HOFORS</t>
        </is>
      </c>
      <c r="H130" t="inlineStr">
        <is>
          <t>Sveaskog</t>
        </is>
      </c>
      <c r="I130" t="n">
        <v>4.8</v>
      </c>
      <c r="J130" t="n">
        <v>0</v>
      </c>
      <c r="K130" t="n">
        <v>0</v>
      </c>
      <c r="L130" t="n">
        <v>0</v>
      </c>
      <c r="M130" t="n">
        <v>0</v>
      </c>
      <c r="N130" t="n">
        <v>0</v>
      </c>
      <c r="O130" t="n">
        <v>0</v>
      </c>
      <c r="P130" t="n">
        <v>0</v>
      </c>
      <c r="Q130" t="n">
        <v>0</v>
      </c>
      <c r="R130" t="n">
        <v>0</v>
      </c>
      <c r="S130" t="n">
        <v>0</v>
      </c>
      <c r="T130" t="n">
        <v>0</v>
      </c>
      <c r="U130" s="2" t="inlineStr"/>
    </row>
    <row r="131" ht="15" customHeight="1">
      <c r="A131" t="inlineStr">
        <is>
          <t>A 7581-2026</t>
        </is>
      </c>
      <c r="B131" t="inlineStr">
        <is>
          <t>avverkningsanmälan</t>
        </is>
      </c>
      <c r="C131" t="inlineStr">
        <is>
          <t>Föryngringsavverkning</t>
        </is>
      </c>
      <c r="D131" s="1" t="n">
        <v>46061</v>
      </c>
      <c r="E131" s="1" t="n">
        <v>46223</v>
      </c>
      <c r="F131" t="inlineStr">
        <is>
          <t>GÄVLEBORGS LÄN</t>
        </is>
      </c>
      <c r="G131" t="inlineStr">
        <is>
          <t>HOFORS</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7580-2026</t>
        </is>
      </c>
      <c r="B132" t="inlineStr">
        <is>
          <t>avverkningsanmälan</t>
        </is>
      </c>
      <c r="C132" t="inlineStr">
        <is>
          <t>Föryngringsavverkning</t>
        </is>
      </c>
      <c r="D132" s="1" t="n">
        <v>46061</v>
      </c>
      <c r="E132" s="1" t="n">
        <v>46223</v>
      </c>
      <c r="F132" t="inlineStr">
        <is>
          <t>GÄVLEBORGS LÄN</t>
        </is>
      </c>
      <c r="G132" t="inlineStr">
        <is>
          <t>HOFORS</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51225-2025</t>
        </is>
      </c>
      <c r="B133" t="inlineStr">
        <is>
          <t>avverkningsanmälan</t>
        </is>
      </c>
      <c r="C133" t="inlineStr">
        <is>
          <t>Föryngringsavverkning</t>
        </is>
      </c>
      <c r="D133" s="1" t="n">
        <v>45947</v>
      </c>
      <c r="E133" s="1" t="n">
        <v>46223</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s="2" t="inlineStr"/>
    </row>
    <row r="134" ht="15" customHeight="1">
      <c r="A134" t="inlineStr">
        <is>
          <t>A 11953-2025</t>
        </is>
      </c>
      <c r="B134" t="inlineStr">
        <is>
          <t>avverkningsanmälan</t>
        </is>
      </c>
      <c r="C134" t="inlineStr">
        <is>
          <t>Föryngringsavverkning</t>
        </is>
      </c>
      <c r="D134" s="1" t="n">
        <v>45728</v>
      </c>
      <c r="E134" s="1" t="n">
        <v>46223</v>
      </c>
      <c r="F134" t="inlineStr">
        <is>
          <t>GÄVLEBORGS LÄN</t>
        </is>
      </c>
      <c r="G134" t="inlineStr">
        <is>
          <t>HOFORS</t>
        </is>
      </c>
      <c r="H134" t="inlineStr">
        <is>
          <t>Sveaskog</t>
        </is>
      </c>
      <c r="I134" t="n">
        <v>34.8</v>
      </c>
      <c r="J134" t="n">
        <v>0</v>
      </c>
      <c r="K134" t="n">
        <v>0</v>
      </c>
      <c r="L134" t="n">
        <v>0</v>
      </c>
      <c r="M134" t="n">
        <v>0</v>
      </c>
      <c r="N134" t="n">
        <v>0</v>
      </c>
      <c r="O134" t="n">
        <v>0</v>
      </c>
      <c r="P134" t="n">
        <v>0</v>
      </c>
      <c r="Q134" t="n">
        <v>0</v>
      </c>
      <c r="R134" t="n">
        <v>0</v>
      </c>
      <c r="S134" t="n">
        <v>0</v>
      </c>
      <c r="T134" t="n">
        <v>0</v>
      </c>
      <c r="U134" s="2" t="inlineStr"/>
    </row>
    <row r="135" ht="15" customHeight="1">
      <c r="A135" t="inlineStr">
        <is>
          <t>A 4566-2026</t>
        </is>
      </c>
      <c r="B135" t="inlineStr">
        <is>
          <t>avverkningsanmälan</t>
        </is>
      </c>
      <c r="C135" t="inlineStr">
        <is>
          <t>Föryngringsavverkning</t>
        </is>
      </c>
      <c r="D135" s="1" t="n">
        <v>46047</v>
      </c>
      <c r="E135" s="1" t="n">
        <v>46223</v>
      </c>
      <c r="F135" t="inlineStr">
        <is>
          <t>GÄVLEBORGS LÄN</t>
        </is>
      </c>
      <c r="G135" t="inlineStr">
        <is>
          <t>HOFORS</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37743-2022</t>
        </is>
      </c>
      <c r="B136" t="inlineStr">
        <is>
          <t>avverkningsanmälan</t>
        </is>
      </c>
      <c r="C136" t="inlineStr">
        <is>
          <t>Föryngringsavverkning</t>
        </is>
      </c>
      <c r="D136" s="1" t="n">
        <v>44810</v>
      </c>
      <c r="E136" s="1" t="n">
        <v>46223</v>
      </c>
      <c r="F136" t="inlineStr">
        <is>
          <t>GÄVLEBORGS LÄN</t>
        </is>
      </c>
      <c r="G136" t="inlineStr">
        <is>
          <t>HOFORS</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52693-2025</t>
        </is>
      </c>
      <c r="B137" t="inlineStr">
        <is>
          <t>avverkningsanmälan</t>
        </is>
      </c>
      <c r="C137" t="inlineStr">
        <is>
          <t>Föryngringsavverkning</t>
        </is>
      </c>
      <c r="D137" s="1" t="n">
        <v>45956</v>
      </c>
      <c r="E137" s="1" t="n">
        <v>46223</v>
      </c>
      <c r="F137" t="inlineStr">
        <is>
          <t>GÄVLEBORGS LÄN</t>
        </is>
      </c>
      <c r="G137" t="inlineStr">
        <is>
          <t>HOFORS</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51337-2023</t>
        </is>
      </c>
      <c r="B138" t="inlineStr">
        <is>
          <t>avverkningsanmälan</t>
        </is>
      </c>
      <c r="C138" t="inlineStr">
        <is>
          <t>Föryngringsavverkning</t>
        </is>
      </c>
      <c r="D138" s="1" t="n">
        <v>45219</v>
      </c>
      <c r="E138" s="1" t="n">
        <v>46223</v>
      </c>
      <c r="F138" t="inlineStr">
        <is>
          <t>GÄVLEBORGS LÄN</t>
        </is>
      </c>
      <c r="G138" t="inlineStr">
        <is>
          <t>HOFORS</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17185-2025</t>
        </is>
      </c>
      <c r="B139" t="inlineStr">
        <is>
          <t>avverkningsanmälan</t>
        </is>
      </c>
      <c r="C139" t="inlineStr">
        <is>
          <t>Föryngringsavverkning</t>
        </is>
      </c>
      <c r="D139" s="1" t="n">
        <v>45755</v>
      </c>
      <c r="E139" s="1" t="n">
        <v>46223</v>
      </c>
      <c r="F139" t="inlineStr">
        <is>
          <t>GÄVLEBORGS LÄN</t>
        </is>
      </c>
      <c r="G139" t="inlineStr">
        <is>
          <t>HOFORS</t>
        </is>
      </c>
      <c r="H139" t="inlineStr">
        <is>
          <t>Bergvik skog väst AB</t>
        </is>
      </c>
      <c r="I139" t="n">
        <v>10.3</v>
      </c>
      <c r="J139" t="n">
        <v>0</v>
      </c>
      <c r="K139" t="n">
        <v>0</v>
      </c>
      <c r="L139" t="n">
        <v>0</v>
      </c>
      <c r="M139" t="n">
        <v>0</v>
      </c>
      <c r="N139" t="n">
        <v>0</v>
      </c>
      <c r="O139" t="n">
        <v>0</v>
      </c>
      <c r="P139" t="n">
        <v>0</v>
      </c>
      <c r="Q139" t="n">
        <v>0</v>
      </c>
      <c r="R139" t="n">
        <v>0</v>
      </c>
      <c r="S139" t="n">
        <v>0</v>
      </c>
      <c r="T139" t="n">
        <v>0</v>
      </c>
      <c r="U139" s="2" t="inlineStr"/>
    </row>
    <row r="140" ht="15" customHeight="1">
      <c r="A140" t="inlineStr">
        <is>
          <t>A 54827-2025</t>
        </is>
      </c>
      <c r="B140" t="inlineStr">
        <is>
          <t>avverkningsanmälan</t>
        </is>
      </c>
      <c r="C140" t="inlineStr">
        <is>
          <t>Föryngringsavverkning</t>
        </is>
      </c>
      <c r="D140" s="1" t="n">
        <v>45966</v>
      </c>
      <c r="E140" s="1" t="n">
        <v>46223</v>
      </c>
      <c r="F140" t="inlineStr">
        <is>
          <t>GÄVLEBORGS LÄN</t>
        </is>
      </c>
      <c r="G140" t="inlineStr">
        <is>
          <t>HOFORS</t>
        </is>
      </c>
      <c r="I140" t="n">
        <v>2.3</v>
      </c>
      <c r="J140" t="n">
        <v>0</v>
      </c>
      <c r="K140" t="n">
        <v>0</v>
      </c>
      <c r="L140" t="n">
        <v>0</v>
      </c>
      <c r="M140" t="n">
        <v>0</v>
      </c>
      <c r="N140" t="n">
        <v>0</v>
      </c>
      <c r="O140" t="n">
        <v>0</v>
      </c>
      <c r="P140" t="n">
        <v>0</v>
      </c>
      <c r="Q140" t="n">
        <v>0</v>
      </c>
      <c r="R140" t="n">
        <v>0</v>
      </c>
      <c r="S140" t="n">
        <v>0</v>
      </c>
      <c r="T140" t="n">
        <v>0</v>
      </c>
      <c r="U140" s="2" t="inlineStr"/>
    </row>
    <row r="141" ht="15" customHeight="1">
      <c r="A141" t="inlineStr">
        <is>
          <t>A 37680-2022</t>
        </is>
      </c>
      <c r="B141" t="inlineStr">
        <is>
          <t>avverkningsanmälan</t>
        </is>
      </c>
      <c r="C141" t="inlineStr">
        <is>
          <t>Föryngringsavverkning</t>
        </is>
      </c>
      <c r="D141" s="1" t="n">
        <v>44810</v>
      </c>
      <c r="E141" s="1" t="n">
        <v>46223</v>
      </c>
      <c r="F141" t="inlineStr">
        <is>
          <t>GÄVLEBORGS LÄN</t>
        </is>
      </c>
      <c r="G141" t="inlineStr">
        <is>
          <t>HOFORS</t>
        </is>
      </c>
      <c r="I141" t="n">
        <v>6.6</v>
      </c>
      <c r="J141" t="n">
        <v>0</v>
      </c>
      <c r="K141" t="n">
        <v>0</v>
      </c>
      <c r="L141" t="n">
        <v>0</v>
      </c>
      <c r="M141" t="n">
        <v>0</v>
      </c>
      <c r="N141" t="n">
        <v>0</v>
      </c>
      <c r="O141" t="n">
        <v>0</v>
      </c>
      <c r="P141" t="n">
        <v>0</v>
      </c>
      <c r="Q141" t="n">
        <v>0</v>
      </c>
      <c r="R141" t="n">
        <v>0</v>
      </c>
      <c r="S141" t="n">
        <v>0</v>
      </c>
      <c r="T141" t="n">
        <v>0</v>
      </c>
      <c r="U141" s="2" t="inlineStr"/>
    </row>
    <row r="142" ht="15" customHeight="1">
      <c r="A142" t="inlineStr">
        <is>
          <t>A 54874-2025</t>
        </is>
      </c>
      <c r="B142" t="inlineStr">
        <is>
          <t>avverkningsanmälan</t>
        </is>
      </c>
      <c r="C142" t="inlineStr">
        <is>
          <t>Föryngringsavverkning</t>
        </is>
      </c>
      <c r="D142" s="1" t="n">
        <v>45967</v>
      </c>
      <c r="E142" s="1" t="n">
        <v>46223</v>
      </c>
      <c r="F142" t="inlineStr">
        <is>
          <t>GÄVLEBORGS LÄN</t>
        </is>
      </c>
      <c r="G142" t="inlineStr">
        <is>
          <t>HOFORS</t>
        </is>
      </c>
      <c r="I142" t="n">
        <v>5.3</v>
      </c>
      <c r="J142" t="n">
        <v>0</v>
      </c>
      <c r="K142" t="n">
        <v>0</v>
      </c>
      <c r="L142" t="n">
        <v>0</v>
      </c>
      <c r="M142" t="n">
        <v>0</v>
      </c>
      <c r="N142" t="n">
        <v>0</v>
      </c>
      <c r="O142" t="n">
        <v>0</v>
      </c>
      <c r="P142" t="n">
        <v>0</v>
      </c>
      <c r="Q142" t="n">
        <v>0</v>
      </c>
      <c r="R142" t="n">
        <v>0</v>
      </c>
      <c r="S142" t="n">
        <v>0</v>
      </c>
      <c r="T142" t="n">
        <v>0</v>
      </c>
      <c r="U142" s="2" t="inlineStr"/>
    </row>
    <row r="143" ht="15" customHeight="1">
      <c r="A143" t="inlineStr">
        <is>
          <t>A 54876-2025</t>
        </is>
      </c>
      <c r="B143" t="inlineStr">
        <is>
          <t>avverkningsanmälan</t>
        </is>
      </c>
      <c r="C143" t="inlineStr">
        <is>
          <t>Föryngringsavverkning</t>
        </is>
      </c>
      <c r="D143" s="1" t="n">
        <v>45967</v>
      </c>
      <c r="E143" s="1" t="n">
        <v>46223</v>
      </c>
      <c r="F143" t="inlineStr">
        <is>
          <t>GÄVLEBORGS LÄN</t>
        </is>
      </c>
      <c r="G143" t="inlineStr">
        <is>
          <t>HOFORS</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54877-2025</t>
        </is>
      </c>
      <c r="B144" t="inlineStr">
        <is>
          <t>avverkningsanmälan</t>
        </is>
      </c>
      <c r="C144" t="inlineStr">
        <is>
          <t>Föryngringsavverkning</t>
        </is>
      </c>
      <c r="D144" s="1" t="n">
        <v>45967</v>
      </c>
      <c r="E144" s="1" t="n">
        <v>46223</v>
      </c>
      <c r="F144" t="inlineStr">
        <is>
          <t>GÄVLEBORGS LÄN</t>
        </is>
      </c>
      <c r="G144" t="inlineStr">
        <is>
          <t>HOFORS</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55287-2025</t>
        </is>
      </c>
      <c r="B145" t="inlineStr">
        <is>
          <t>avverkningsanmälan</t>
        </is>
      </c>
      <c r="C145" t="inlineStr">
        <is>
          <t>Föryngringsavverkning</t>
        </is>
      </c>
      <c r="D145" s="1" t="n">
        <v>45969</v>
      </c>
      <c r="E145" s="1" t="n">
        <v>46223</v>
      </c>
      <c r="F145" t="inlineStr">
        <is>
          <t>GÄVLEBORGS LÄN</t>
        </is>
      </c>
      <c r="G145" t="inlineStr">
        <is>
          <t>HOFORS</t>
        </is>
      </c>
      <c r="I145" t="n">
        <v>2.7</v>
      </c>
      <c r="J145" t="n">
        <v>0</v>
      </c>
      <c r="K145" t="n">
        <v>0</v>
      </c>
      <c r="L145" t="n">
        <v>0</v>
      </c>
      <c r="M145" t="n">
        <v>0</v>
      </c>
      <c r="N145" t="n">
        <v>0</v>
      </c>
      <c r="O145" t="n">
        <v>0</v>
      </c>
      <c r="P145" t="n">
        <v>0</v>
      </c>
      <c r="Q145" t="n">
        <v>0</v>
      </c>
      <c r="R145" t="n">
        <v>0</v>
      </c>
      <c r="S145" t="n">
        <v>0</v>
      </c>
      <c r="T145" t="n">
        <v>0</v>
      </c>
      <c r="U145" s="2" t="inlineStr"/>
    </row>
    <row r="146" ht="15" customHeight="1">
      <c r="A146" t="inlineStr">
        <is>
          <t>A 55288-2025</t>
        </is>
      </c>
      <c r="B146" t="inlineStr">
        <is>
          <t>avverkningsanmälan</t>
        </is>
      </c>
      <c r="C146" t="inlineStr">
        <is>
          <t>Föryngringsavverkning</t>
        </is>
      </c>
      <c r="D146" s="1" t="n">
        <v>45969</v>
      </c>
      <c r="E146" s="1" t="n">
        <v>46223</v>
      </c>
      <c r="F146" t="inlineStr">
        <is>
          <t>GÄVLEBORGS LÄN</t>
        </is>
      </c>
      <c r="G146" t="inlineStr">
        <is>
          <t>HOFORS</t>
        </is>
      </c>
      <c r="I146" t="n">
        <v>2.6</v>
      </c>
      <c r="J146" t="n">
        <v>0</v>
      </c>
      <c r="K146" t="n">
        <v>0</v>
      </c>
      <c r="L146" t="n">
        <v>0</v>
      </c>
      <c r="M146" t="n">
        <v>0</v>
      </c>
      <c r="N146" t="n">
        <v>0</v>
      </c>
      <c r="O146" t="n">
        <v>0</v>
      </c>
      <c r="P146" t="n">
        <v>0</v>
      </c>
      <c r="Q146" t="n">
        <v>0</v>
      </c>
      <c r="R146" t="n">
        <v>0</v>
      </c>
      <c r="S146" t="n">
        <v>0</v>
      </c>
      <c r="T146" t="n">
        <v>0</v>
      </c>
      <c r="U146" s="2" t="inlineStr"/>
    </row>
    <row r="147" ht="15" customHeight="1">
      <c r="A147" t="inlineStr">
        <is>
          <t>A 11462-2026</t>
        </is>
      </c>
      <c r="B147" t="inlineStr">
        <is>
          <t>avverkningsanmälan</t>
        </is>
      </c>
      <c r="C147" t="inlineStr">
        <is>
          <t>Föryngringsavverkning</t>
        </is>
      </c>
      <c r="D147" s="1" t="n">
        <v>46083</v>
      </c>
      <c r="E147" s="1" t="n">
        <v>46223</v>
      </c>
      <c r="F147" t="inlineStr">
        <is>
          <t>GÄVLEBORGS LÄN</t>
        </is>
      </c>
      <c r="G147" t="inlineStr">
        <is>
          <t>HOFORS</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47639-2021</t>
        </is>
      </c>
      <c r="B148" t="inlineStr">
        <is>
          <t>avverkningsanmälan</t>
        </is>
      </c>
      <c r="C148" t="inlineStr">
        <is>
          <t>Föryngringsavverkning</t>
        </is>
      </c>
      <c r="D148" s="1" t="n">
        <v>44448</v>
      </c>
      <c r="E148" s="1" t="n">
        <v>46223</v>
      </c>
      <c r="F148" t="inlineStr">
        <is>
          <t>GÄVLEBORGS LÄN</t>
        </is>
      </c>
      <c r="G148" t="inlineStr">
        <is>
          <t>HOFORS</t>
        </is>
      </c>
      <c r="I148" t="n">
        <v>2.7</v>
      </c>
      <c r="J148" t="n">
        <v>0</v>
      </c>
      <c r="K148" t="n">
        <v>0</v>
      </c>
      <c r="L148" t="n">
        <v>0</v>
      </c>
      <c r="M148" t="n">
        <v>0</v>
      </c>
      <c r="N148" t="n">
        <v>0</v>
      </c>
      <c r="O148" t="n">
        <v>0</v>
      </c>
      <c r="P148" t="n">
        <v>0</v>
      </c>
      <c r="Q148" t="n">
        <v>0</v>
      </c>
      <c r="R148" t="n">
        <v>0</v>
      </c>
      <c r="S148" t="n">
        <v>0</v>
      </c>
      <c r="T148" t="n">
        <v>0</v>
      </c>
      <c r="U148" s="2" t="inlineStr"/>
    </row>
    <row r="149" ht="15" customHeight="1">
      <c r="A149" t="inlineStr">
        <is>
          <t>A 57593-2025</t>
        </is>
      </c>
      <c r="B149" t="inlineStr">
        <is>
          <t>avverkningsanmälan</t>
        </is>
      </c>
      <c r="C149" t="inlineStr">
        <is>
          <t>Föryngringsavverkning</t>
        </is>
      </c>
      <c r="D149" s="1" t="n">
        <v>45980</v>
      </c>
      <c r="E149" s="1" t="n">
        <v>46223</v>
      </c>
      <c r="F149" t="inlineStr">
        <is>
          <t>GÄVLEBORGS LÄN</t>
        </is>
      </c>
      <c r="G149" t="inlineStr">
        <is>
          <t>HOFORS</t>
        </is>
      </c>
      <c r="I149" t="n">
        <v>1.8</v>
      </c>
      <c r="J149" t="n">
        <v>0</v>
      </c>
      <c r="K149" t="n">
        <v>0</v>
      </c>
      <c r="L149" t="n">
        <v>0</v>
      </c>
      <c r="M149" t="n">
        <v>0</v>
      </c>
      <c r="N149" t="n">
        <v>0</v>
      </c>
      <c r="O149" t="n">
        <v>0</v>
      </c>
      <c r="P149" t="n">
        <v>0</v>
      </c>
      <c r="Q149" t="n">
        <v>0</v>
      </c>
      <c r="R149" t="n">
        <v>0</v>
      </c>
      <c r="S149" t="n">
        <v>0</v>
      </c>
      <c r="T149" t="n">
        <v>0</v>
      </c>
      <c r="U149" s="2" t="inlineStr"/>
    </row>
    <row r="150" ht="15" customHeight="1">
      <c r="A150" t="inlineStr">
        <is>
          <t>A 57595-2025</t>
        </is>
      </c>
      <c r="B150" t="inlineStr">
        <is>
          <t>avverkningsanmälan</t>
        </is>
      </c>
      <c r="C150" t="inlineStr">
        <is>
          <t>Föryngringsavverkning</t>
        </is>
      </c>
      <c r="D150" s="1" t="n">
        <v>45980</v>
      </c>
      <c r="E150" s="1" t="n">
        <v>46223</v>
      </c>
      <c r="F150" t="inlineStr">
        <is>
          <t>GÄVLEBORGS LÄN</t>
        </is>
      </c>
      <c r="G150" t="inlineStr">
        <is>
          <t>HOFORS</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57596-2025</t>
        </is>
      </c>
      <c r="B151" t="inlineStr">
        <is>
          <t>avverkningsanmälan</t>
        </is>
      </c>
      <c r="C151" t="inlineStr">
        <is>
          <t>Föryngringsavverkning</t>
        </is>
      </c>
      <c r="D151" s="1" t="n">
        <v>45980</v>
      </c>
      <c r="E151" s="1" t="n">
        <v>46223</v>
      </c>
      <c r="F151" t="inlineStr">
        <is>
          <t>GÄVLEBORGS LÄN</t>
        </is>
      </c>
      <c r="G151" t="inlineStr">
        <is>
          <t>HOFORS</t>
        </is>
      </c>
      <c r="I151" t="n">
        <v>1.9</v>
      </c>
      <c r="J151" t="n">
        <v>0</v>
      </c>
      <c r="K151" t="n">
        <v>0</v>
      </c>
      <c r="L151" t="n">
        <v>0</v>
      </c>
      <c r="M151" t="n">
        <v>0</v>
      </c>
      <c r="N151" t="n">
        <v>0</v>
      </c>
      <c r="O151" t="n">
        <v>0</v>
      </c>
      <c r="P151" t="n">
        <v>0</v>
      </c>
      <c r="Q151" t="n">
        <v>0</v>
      </c>
      <c r="R151" t="n">
        <v>0</v>
      </c>
      <c r="S151" t="n">
        <v>0</v>
      </c>
      <c r="T151" t="n">
        <v>0</v>
      </c>
      <c r="U151" s="2" t="inlineStr"/>
    </row>
    <row r="152" ht="15" customHeight="1">
      <c r="A152" t="inlineStr">
        <is>
          <t>A 57594-2025</t>
        </is>
      </c>
      <c r="B152" t="inlineStr">
        <is>
          <t>avverkningsanmälan</t>
        </is>
      </c>
      <c r="C152" t="inlineStr">
        <is>
          <t>Föryngringsavverkning</t>
        </is>
      </c>
      <c r="D152" s="1" t="n">
        <v>45980</v>
      </c>
      <c r="E152" s="1" t="n">
        <v>46223</v>
      </c>
      <c r="F152" t="inlineStr">
        <is>
          <t>GÄVLEBORGS LÄN</t>
        </is>
      </c>
      <c r="G152" t="inlineStr">
        <is>
          <t>HOFORS</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28133-2024</t>
        </is>
      </c>
      <c r="B153" t="inlineStr">
        <is>
          <t>avverkningsanmälan</t>
        </is>
      </c>
      <c r="C153" t="inlineStr">
        <is>
          <t>Föryngringsavverkning</t>
        </is>
      </c>
      <c r="D153" s="1" t="n">
        <v>45476</v>
      </c>
      <c r="E153" s="1" t="n">
        <v>46223</v>
      </c>
      <c r="F153" t="inlineStr">
        <is>
          <t>GÄVLEBORGS LÄN</t>
        </is>
      </c>
      <c r="G153" t="inlineStr">
        <is>
          <t>HOFORS</t>
        </is>
      </c>
      <c r="I153" t="n">
        <v>3.8</v>
      </c>
      <c r="J153" t="n">
        <v>0</v>
      </c>
      <c r="K153" t="n">
        <v>0</v>
      </c>
      <c r="L153" t="n">
        <v>0</v>
      </c>
      <c r="M153" t="n">
        <v>0</v>
      </c>
      <c r="N153" t="n">
        <v>0</v>
      </c>
      <c r="O153" t="n">
        <v>0</v>
      </c>
      <c r="P153" t="n">
        <v>0</v>
      </c>
      <c r="Q153" t="n">
        <v>0</v>
      </c>
      <c r="R153" t="n">
        <v>0</v>
      </c>
      <c r="S153" t="n">
        <v>0</v>
      </c>
      <c r="T153" t="n">
        <v>0</v>
      </c>
      <c r="U153" s="2" t="inlineStr"/>
    </row>
    <row r="154" ht="15" customHeight="1">
      <c r="A154" t="inlineStr">
        <is>
          <t>A 33978-2024</t>
        </is>
      </c>
      <c r="B154" t="inlineStr">
        <is>
          <t>avverkningsanmälan</t>
        </is>
      </c>
      <c r="C154" t="inlineStr">
        <is>
          <t>Föryngringsavverkning</t>
        </is>
      </c>
      <c r="D154" s="1" t="n">
        <v>45523</v>
      </c>
      <c r="E154" s="1" t="n">
        <v>46223</v>
      </c>
      <c r="F154" t="inlineStr">
        <is>
          <t>GÄVLEBORGS LÄN</t>
        </is>
      </c>
      <c r="G154" t="inlineStr">
        <is>
          <t>HOFORS</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33984-2024</t>
        </is>
      </c>
      <c r="B155" t="inlineStr">
        <is>
          <t>avverkningsanmälan</t>
        </is>
      </c>
      <c r="C155" t="inlineStr">
        <is>
          <t>Föryngringsavverkning</t>
        </is>
      </c>
      <c r="D155" s="1" t="n">
        <v>45523</v>
      </c>
      <c r="E155" s="1" t="n">
        <v>46223</v>
      </c>
      <c r="F155" t="inlineStr">
        <is>
          <t>GÄVLEBORGS LÄN</t>
        </is>
      </c>
      <c r="G155" t="inlineStr">
        <is>
          <t>HOFORS</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58633-2025</t>
        </is>
      </c>
      <c r="B156" t="inlineStr">
        <is>
          <t>avverkningsanmälan</t>
        </is>
      </c>
      <c r="C156" t="inlineStr">
        <is>
          <t>Föryngringsavverkning</t>
        </is>
      </c>
      <c r="D156" s="1" t="n">
        <v>45986</v>
      </c>
      <c r="E156" s="1" t="n">
        <v>46223</v>
      </c>
      <c r="F156" t="inlineStr">
        <is>
          <t>GÄVLEBORGS LÄN</t>
        </is>
      </c>
      <c r="G156" t="inlineStr">
        <is>
          <t>HOFORS</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58805-2025</t>
        </is>
      </c>
      <c r="B157" t="inlineStr">
        <is>
          <t>avverkningsanmälan</t>
        </is>
      </c>
      <c r="C157" t="inlineStr">
        <is>
          <t>Föryngringsavverkning</t>
        </is>
      </c>
      <c r="D157" s="1" t="n">
        <v>45986</v>
      </c>
      <c r="E157" s="1" t="n">
        <v>46223</v>
      </c>
      <c r="F157" t="inlineStr">
        <is>
          <t>GÄVLEBORGS LÄN</t>
        </is>
      </c>
      <c r="G157" t="inlineStr">
        <is>
          <t>HOFORS</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12803-2026</t>
        </is>
      </c>
      <c r="B158" t="inlineStr">
        <is>
          <t>avverkningsanmälan</t>
        </is>
      </c>
      <c r="C158" t="inlineStr">
        <is>
          <t>Föryngringsavverkning</t>
        </is>
      </c>
      <c r="D158" s="1" t="n">
        <v>46092</v>
      </c>
      <c r="E158" s="1" t="n">
        <v>46223</v>
      </c>
      <c r="F158" t="inlineStr">
        <is>
          <t>GÄVLEBORGS LÄN</t>
        </is>
      </c>
      <c r="G158" t="inlineStr">
        <is>
          <t>HOFORS</t>
        </is>
      </c>
      <c r="H158" t="inlineStr">
        <is>
          <t>Bergvik skog öst AB</t>
        </is>
      </c>
      <c r="I158" t="n">
        <v>7.4</v>
      </c>
      <c r="J158" t="n">
        <v>0</v>
      </c>
      <c r="K158" t="n">
        <v>0</v>
      </c>
      <c r="L158" t="n">
        <v>0</v>
      </c>
      <c r="M158" t="n">
        <v>0</v>
      </c>
      <c r="N158" t="n">
        <v>0</v>
      </c>
      <c r="O158" t="n">
        <v>0</v>
      </c>
      <c r="P158" t="n">
        <v>0</v>
      </c>
      <c r="Q158" t="n">
        <v>0</v>
      </c>
      <c r="R158" t="n">
        <v>0</v>
      </c>
      <c r="S158" t="n">
        <v>0</v>
      </c>
      <c r="T158" t="n">
        <v>0</v>
      </c>
      <c r="U158" s="2" t="inlineStr"/>
    </row>
    <row r="159" ht="15" customHeight="1">
      <c r="A159" t="inlineStr">
        <is>
          <t>A 36763-2024</t>
        </is>
      </c>
      <c r="B159" t="inlineStr">
        <is>
          <t>avverkningsanmälan</t>
        </is>
      </c>
      <c r="C159" t="inlineStr">
        <is>
          <t>Föryngringsavverkning</t>
        </is>
      </c>
      <c r="D159" s="1" t="n">
        <v>45538</v>
      </c>
      <c r="E159" s="1" t="n">
        <v>46223</v>
      </c>
      <c r="F159" t="inlineStr">
        <is>
          <t>GÄVLEBORGS LÄN</t>
        </is>
      </c>
      <c r="G159" t="inlineStr">
        <is>
          <t>HOFORS</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61186-2025</t>
        </is>
      </c>
      <c r="B160" t="inlineStr">
        <is>
          <t>avverkningsanmälan</t>
        </is>
      </c>
      <c r="C160" t="inlineStr">
        <is>
          <t>Föryngringsavverkning</t>
        </is>
      </c>
      <c r="D160" s="1" t="n">
        <v>46000</v>
      </c>
      <c r="E160" s="1" t="n">
        <v>46223</v>
      </c>
      <c r="F160" t="inlineStr">
        <is>
          <t>GÄVLEBORGS LÄN</t>
        </is>
      </c>
      <c r="G160" t="inlineStr">
        <is>
          <t>HOFORS</t>
        </is>
      </c>
      <c r="I160" t="n">
        <v>4.2</v>
      </c>
      <c r="J160" t="n">
        <v>0</v>
      </c>
      <c r="K160" t="n">
        <v>0</v>
      </c>
      <c r="L160" t="n">
        <v>0</v>
      </c>
      <c r="M160" t="n">
        <v>0</v>
      </c>
      <c r="N160" t="n">
        <v>0</v>
      </c>
      <c r="O160" t="n">
        <v>0</v>
      </c>
      <c r="P160" t="n">
        <v>0</v>
      </c>
      <c r="Q160" t="n">
        <v>0</v>
      </c>
      <c r="R160" t="n">
        <v>0</v>
      </c>
      <c r="S160" t="n">
        <v>0</v>
      </c>
      <c r="T160" t="n">
        <v>0</v>
      </c>
      <c r="U160" s="2" t="inlineStr"/>
    </row>
    <row r="161" ht="15" customHeight="1">
      <c r="A161" t="inlineStr">
        <is>
          <t>A 61642-2025</t>
        </is>
      </c>
      <c r="B161" t="inlineStr">
        <is>
          <t>avverkningsanmälan</t>
        </is>
      </c>
      <c r="C161" t="inlineStr">
        <is>
          <t>Föryngringsavverkning</t>
        </is>
      </c>
      <c r="D161" s="1" t="n">
        <v>46002</v>
      </c>
      <c r="E161" s="1" t="n">
        <v>46223</v>
      </c>
      <c r="F161" t="inlineStr">
        <is>
          <t>GÄVLEBORGS LÄN</t>
        </is>
      </c>
      <c r="G161" t="inlineStr">
        <is>
          <t>HOFORS</t>
        </is>
      </c>
      <c r="I161" t="n">
        <v>3.4</v>
      </c>
      <c r="J161" t="n">
        <v>0</v>
      </c>
      <c r="K161" t="n">
        <v>0</v>
      </c>
      <c r="L161" t="n">
        <v>0</v>
      </c>
      <c r="M161" t="n">
        <v>0</v>
      </c>
      <c r="N161" t="n">
        <v>0</v>
      </c>
      <c r="O161" t="n">
        <v>0</v>
      </c>
      <c r="P161" t="n">
        <v>0</v>
      </c>
      <c r="Q161" t="n">
        <v>0</v>
      </c>
      <c r="R161" t="n">
        <v>0</v>
      </c>
      <c r="S161" t="n">
        <v>0</v>
      </c>
      <c r="T161" t="n">
        <v>0</v>
      </c>
      <c r="U161" s="2" t="inlineStr"/>
    </row>
    <row r="162" ht="15" customHeight="1">
      <c r="A162" t="inlineStr">
        <is>
          <t>A 10161-2023</t>
        </is>
      </c>
      <c r="B162" t="inlineStr">
        <is>
          <t>avverkningsanmälan</t>
        </is>
      </c>
      <c r="C162" t="inlineStr">
        <is>
          <t>Föryngringsavverkning</t>
        </is>
      </c>
      <c r="D162" s="1" t="n">
        <v>44986</v>
      </c>
      <c r="E162" s="1" t="n">
        <v>46223</v>
      </c>
      <c r="F162" t="inlineStr">
        <is>
          <t>GÄVLEBORGS LÄN</t>
        </is>
      </c>
      <c r="G162" t="inlineStr">
        <is>
          <t>HOFORS</t>
        </is>
      </c>
      <c r="H162" t="inlineStr">
        <is>
          <t>Övriga statliga verk och myndigheter</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31611-2023</t>
        </is>
      </c>
      <c r="B163" t="inlineStr">
        <is>
          <t>avverkningsanmälan</t>
        </is>
      </c>
      <c r="C163" t="inlineStr">
        <is>
          <t>Avverkning för att bevara och utveckla /försöksver</t>
        </is>
      </c>
      <c r="D163" s="1" t="n">
        <v>45117</v>
      </c>
      <c r="E163" s="1" t="n">
        <v>46223</v>
      </c>
      <c r="F163" t="inlineStr">
        <is>
          <t>GÄVLEBORGS LÄN</t>
        </is>
      </c>
      <c r="G163" t="inlineStr">
        <is>
          <t>HOFORS</t>
        </is>
      </c>
      <c r="I163" t="n">
        <v>4.4</v>
      </c>
      <c r="J163" t="n">
        <v>0</v>
      </c>
      <c r="K163" t="n">
        <v>0</v>
      </c>
      <c r="L163" t="n">
        <v>0</v>
      </c>
      <c r="M163" t="n">
        <v>0</v>
      </c>
      <c r="N163" t="n">
        <v>0</v>
      </c>
      <c r="O163" t="n">
        <v>0</v>
      </c>
      <c r="P163" t="n">
        <v>0</v>
      </c>
      <c r="Q163" t="n">
        <v>0</v>
      </c>
      <c r="R163" t="n">
        <v>0</v>
      </c>
      <c r="S163" t="n">
        <v>0</v>
      </c>
      <c r="T163" t="n">
        <v>0</v>
      </c>
      <c r="U163" s="2" t="inlineStr"/>
    </row>
    <row r="164" ht="15" customHeight="1">
      <c r="A164" t="inlineStr">
        <is>
          <t>A 692-2026</t>
        </is>
      </c>
      <c r="B164" t="inlineStr">
        <is>
          <t>avverkningsanmälan</t>
        </is>
      </c>
      <c r="C164" t="inlineStr">
        <is>
          <t>Föryngringsavverkning</t>
        </is>
      </c>
      <c r="D164" s="1" t="n">
        <v>46029</v>
      </c>
      <c r="E164" s="1" t="n">
        <v>46223</v>
      </c>
      <c r="F164" t="inlineStr">
        <is>
          <t>GÄVLEBORGS LÄN</t>
        </is>
      </c>
      <c r="G164" t="inlineStr">
        <is>
          <t>HOFORS</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892-2026</t>
        </is>
      </c>
      <c r="B165" t="inlineStr">
        <is>
          <t>avverkningsanmälan</t>
        </is>
      </c>
      <c r="C165" t="inlineStr">
        <is>
          <t>Föryngringsavverkning</t>
        </is>
      </c>
      <c r="D165" s="1" t="n">
        <v>46030</v>
      </c>
      <c r="E165" s="1" t="n">
        <v>46223</v>
      </c>
      <c r="F165" t="inlineStr">
        <is>
          <t>GÄVLEBORGS LÄN</t>
        </is>
      </c>
      <c r="G165" t="inlineStr">
        <is>
          <t>HOFORS</t>
        </is>
      </c>
      <c r="I165" t="n">
        <v>3.6</v>
      </c>
      <c r="J165" t="n">
        <v>0</v>
      </c>
      <c r="K165" t="n">
        <v>0</v>
      </c>
      <c r="L165" t="n">
        <v>0</v>
      </c>
      <c r="M165" t="n">
        <v>0</v>
      </c>
      <c r="N165" t="n">
        <v>0</v>
      </c>
      <c r="O165" t="n">
        <v>0</v>
      </c>
      <c r="P165" t="n">
        <v>0</v>
      </c>
      <c r="Q165" t="n">
        <v>0</v>
      </c>
      <c r="R165" t="n">
        <v>0</v>
      </c>
      <c r="S165" t="n">
        <v>0</v>
      </c>
      <c r="T165" t="n">
        <v>0</v>
      </c>
      <c r="U165" s="2" t="inlineStr"/>
    </row>
    <row r="166" ht="15" customHeight="1">
      <c r="A166" t="inlineStr">
        <is>
          <t>A 837-2026</t>
        </is>
      </c>
      <c r="B166" t="inlineStr">
        <is>
          <t>avverkningsanmälan</t>
        </is>
      </c>
      <c r="C166" t="inlineStr">
        <is>
          <t>Föryngringsavverkning</t>
        </is>
      </c>
      <c r="D166" s="1" t="n">
        <v>46030</v>
      </c>
      <c r="E166" s="1" t="n">
        <v>46223</v>
      </c>
      <c r="F166" t="inlineStr">
        <is>
          <t>GÄVLEBORGS LÄN</t>
        </is>
      </c>
      <c r="G166" t="inlineStr">
        <is>
          <t>HOFORS</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15810-2026</t>
        </is>
      </c>
      <c r="B167" t="inlineStr">
        <is>
          <t>avverkningsanmälan</t>
        </is>
      </c>
      <c r="C167" t="inlineStr">
        <is>
          <t>Föryngringsavverkning</t>
        </is>
      </c>
      <c r="D167" s="1" t="n">
        <v>46107</v>
      </c>
      <c r="E167" s="1" t="n">
        <v>46223</v>
      </c>
      <c r="F167" t="inlineStr">
        <is>
          <t>GÄVLEBORGS LÄN</t>
        </is>
      </c>
      <c r="G167" t="inlineStr">
        <is>
          <t>HOFORS</t>
        </is>
      </c>
      <c r="H167" t="inlineStr">
        <is>
          <t>Sveaskog</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659-2026</t>
        </is>
      </c>
      <c r="B168" t="inlineStr">
        <is>
          <t>avverkningsanmälan</t>
        </is>
      </c>
      <c r="C168" t="inlineStr">
        <is>
          <t>Föryngringsavverkning</t>
        </is>
      </c>
      <c r="D168" s="1" t="n">
        <v>46029</v>
      </c>
      <c r="E168" s="1" t="n">
        <v>46223</v>
      </c>
      <c r="F168" t="inlineStr">
        <is>
          <t>GÄVLEBORGS LÄN</t>
        </is>
      </c>
      <c r="G168" t="inlineStr">
        <is>
          <t>HOFORS</t>
        </is>
      </c>
      <c r="I168" t="n">
        <v>9.199999999999999</v>
      </c>
      <c r="J168" t="n">
        <v>0</v>
      </c>
      <c r="K168" t="n">
        <v>0</v>
      </c>
      <c r="L168" t="n">
        <v>0</v>
      </c>
      <c r="M168" t="n">
        <v>0</v>
      </c>
      <c r="N168" t="n">
        <v>0</v>
      </c>
      <c r="O168" t="n">
        <v>0</v>
      </c>
      <c r="P168" t="n">
        <v>0</v>
      </c>
      <c r="Q168" t="n">
        <v>0</v>
      </c>
      <c r="R168" t="n">
        <v>0</v>
      </c>
      <c r="S168" t="n">
        <v>0</v>
      </c>
      <c r="T168" t="n">
        <v>0</v>
      </c>
      <c r="U168" s="2" t="inlineStr"/>
    </row>
    <row r="169" ht="15" customHeight="1">
      <c r="A169" t="inlineStr">
        <is>
          <t>A 2220-2026</t>
        </is>
      </c>
      <c r="B169" t="inlineStr">
        <is>
          <t>avverkningsanmälan</t>
        </is>
      </c>
      <c r="C169" t="inlineStr">
        <is>
          <t>Föryngringsavverkning</t>
        </is>
      </c>
      <c r="D169" s="1" t="n">
        <v>46036</v>
      </c>
      <c r="E169" s="1" t="n">
        <v>46223</v>
      </c>
      <c r="F169" t="inlineStr">
        <is>
          <t>GÄVLEBORGS LÄN</t>
        </is>
      </c>
      <c r="G169" t="inlineStr">
        <is>
          <t>HOFORS</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2546-2026</t>
        </is>
      </c>
      <c r="B170" t="inlineStr">
        <is>
          <t>avverkningsanmälan</t>
        </is>
      </c>
      <c r="C170" t="inlineStr">
        <is>
          <t>Föryngringsavverkning</t>
        </is>
      </c>
      <c r="D170" s="1" t="n">
        <v>46037</v>
      </c>
      <c r="E170" s="1" t="n">
        <v>46223</v>
      </c>
      <c r="F170" t="inlineStr">
        <is>
          <t>GÄVLEBORGS LÄN</t>
        </is>
      </c>
      <c r="G170" t="inlineStr">
        <is>
          <t>HOFORS</t>
        </is>
      </c>
      <c r="I170" t="n">
        <v>5</v>
      </c>
      <c r="J170" t="n">
        <v>0</v>
      </c>
      <c r="K170" t="n">
        <v>0</v>
      </c>
      <c r="L170" t="n">
        <v>0</v>
      </c>
      <c r="M170" t="n">
        <v>0</v>
      </c>
      <c r="N170" t="n">
        <v>0</v>
      </c>
      <c r="O170" t="n">
        <v>0</v>
      </c>
      <c r="P170" t="n">
        <v>0</v>
      </c>
      <c r="Q170" t="n">
        <v>0</v>
      </c>
      <c r="R170" t="n">
        <v>0</v>
      </c>
      <c r="S170" t="n">
        <v>0</v>
      </c>
      <c r="T170" t="n">
        <v>0</v>
      </c>
      <c r="U170" s="2" t="inlineStr"/>
    </row>
    <row r="171" ht="15" customHeight="1">
      <c r="A171" t="inlineStr">
        <is>
          <t>A 8510-2023</t>
        </is>
      </c>
      <c r="B171" t="inlineStr">
        <is>
          <t>avverkningsanmälan</t>
        </is>
      </c>
      <c r="C171" t="inlineStr">
        <is>
          <t>Föryngringsavverkning</t>
        </is>
      </c>
      <c r="D171" s="1" t="n">
        <v>44977</v>
      </c>
      <c r="E171" s="1" t="n">
        <v>46223</v>
      </c>
      <c r="F171" t="inlineStr">
        <is>
          <t>GÄVLEBORGS LÄN</t>
        </is>
      </c>
      <c r="G171" t="inlineStr">
        <is>
          <t>HOFORS</t>
        </is>
      </c>
      <c r="I171" t="n">
        <v>0.4</v>
      </c>
      <c r="J171" t="n">
        <v>0</v>
      </c>
      <c r="K171" t="n">
        <v>0</v>
      </c>
      <c r="L171" t="n">
        <v>0</v>
      </c>
      <c r="M171" t="n">
        <v>0</v>
      </c>
      <c r="N171" t="n">
        <v>0</v>
      </c>
      <c r="O171" t="n">
        <v>0</v>
      </c>
      <c r="P171" t="n">
        <v>0</v>
      </c>
      <c r="Q171" t="n">
        <v>0</v>
      </c>
      <c r="R171" t="n">
        <v>0</v>
      </c>
      <c r="S171" t="n">
        <v>0</v>
      </c>
      <c r="T171" t="n">
        <v>0</v>
      </c>
      <c r="U171" s="2" t="inlineStr"/>
    </row>
    <row r="172" ht="15" customHeight="1">
      <c r="A172" t="inlineStr">
        <is>
          <t>A 27738-2024</t>
        </is>
      </c>
      <c r="B172" t="inlineStr">
        <is>
          <t>avverkningsanmälan</t>
        </is>
      </c>
      <c r="C172" t="inlineStr">
        <is>
          <t>Föryngringsavverkning</t>
        </is>
      </c>
      <c r="D172" s="1" t="n">
        <v>45475</v>
      </c>
      <c r="E172" s="1" t="n">
        <v>46223</v>
      </c>
      <c r="F172" t="inlineStr">
        <is>
          <t>GÄVLEBORGS LÄN</t>
        </is>
      </c>
      <c r="G172" t="inlineStr">
        <is>
          <t>HOFORS</t>
        </is>
      </c>
      <c r="H172" t="inlineStr">
        <is>
          <t>Bergvik skog öst AB</t>
        </is>
      </c>
      <c r="I172" t="n">
        <v>2.6</v>
      </c>
      <c r="J172" t="n">
        <v>0</v>
      </c>
      <c r="K172" t="n">
        <v>0</v>
      </c>
      <c r="L172" t="n">
        <v>0</v>
      </c>
      <c r="M172" t="n">
        <v>0</v>
      </c>
      <c r="N172" t="n">
        <v>0</v>
      </c>
      <c r="O172" t="n">
        <v>0</v>
      </c>
      <c r="P172" t="n">
        <v>0</v>
      </c>
      <c r="Q172" t="n">
        <v>0</v>
      </c>
      <c r="R172" t="n">
        <v>0</v>
      </c>
      <c r="S172" t="n">
        <v>0</v>
      </c>
      <c r="T172" t="n">
        <v>0</v>
      </c>
      <c r="U172" s="2" t="inlineStr"/>
    </row>
    <row r="173" ht="15" customHeight="1">
      <c r="A173" t="inlineStr">
        <is>
          <t>A 17170-2026</t>
        </is>
      </c>
      <c r="B173" t="inlineStr">
        <is>
          <t>avverkningsanmälan</t>
        </is>
      </c>
      <c r="C173" t="inlineStr">
        <is>
          <t>Föryngringsavverkning</t>
        </is>
      </c>
      <c r="D173" s="1" t="n">
        <v>46115</v>
      </c>
      <c r="E173" s="1" t="n">
        <v>46223</v>
      </c>
      <c r="F173" t="inlineStr">
        <is>
          <t>GÄVLEBORGS LÄN</t>
        </is>
      </c>
      <c r="G173" t="inlineStr">
        <is>
          <t>HOFORS</t>
        </is>
      </c>
      <c r="I173" t="n">
        <v>2.7</v>
      </c>
      <c r="J173" t="n">
        <v>0</v>
      </c>
      <c r="K173" t="n">
        <v>0</v>
      </c>
      <c r="L173" t="n">
        <v>0</v>
      </c>
      <c r="M173" t="n">
        <v>0</v>
      </c>
      <c r="N173" t="n">
        <v>0</v>
      </c>
      <c r="O173" t="n">
        <v>0</v>
      </c>
      <c r="P173" t="n">
        <v>0</v>
      </c>
      <c r="Q173" t="n">
        <v>0</v>
      </c>
      <c r="R173" t="n">
        <v>0</v>
      </c>
      <c r="S173" t="n">
        <v>0</v>
      </c>
      <c r="T173" t="n">
        <v>0</v>
      </c>
      <c r="U173" s="2" t="inlineStr"/>
    </row>
    <row r="174" ht="15" customHeight="1">
      <c r="A174" t="inlineStr">
        <is>
          <t>A 31607-2023</t>
        </is>
      </c>
      <c r="B174" t="inlineStr">
        <is>
          <t>avverkningsanmälan</t>
        </is>
      </c>
      <c r="C174" t="inlineStr">
        <is>
          <t>Avverkning för att bevara och utveckla /försöksver</t>
        </is>
      </c>
      <c r="D174" s="1" t="n">
        <v>45117</v>
      </c>
      <c r="E174" s="1" t="n">
        <v>46223</v>
      </c>
      <c r="F174" t="inlineStr">
        <is>
          <t>GÄVLEBORGS LÄN</t>
        </is>
      </c>
      <c r="G174" t="inlineStr">
        <is>
          <t>HOFORS</t>
        </is>
      </c>
      <c r="I174" t="n">
        <v>3.8</v>
      </c>
      <c r="J174" t="n">
        <v>0</v>
      </c>
      <c r="K174" t="n">
        <v>0</v>
      </c>
      <c r="L174" t="n">
        <v>0</v>
      </c>
      <c r="M174" t="n">
        <v>0</v>
      </c>
      <c r="N174" t="n">
        <v>0</v>
      </c>
      <c r="O174" t="n">
        <v>0</v>
      </c>
      <c r="P174" t="n">
        <v>0</v>
      </c>
      <c r="Q174" t="n">
        <v>0</v>
      </c>
      <c r="R174" t="n">
        <v>0</v>
      </c>
      <c r="S174" t="n">
        <v>0</v>
      </c>
      <c r="T174" t="n">
        <v>0</v>
      </c>
      <c r="U174" s="2" t="inlineStr"/>
    </row>
    <row r="175" ht="15" customHeight="1">
      <c r="A175" t="inlineStr">
        <is>
          <t>A 13744-2023</t>
        </is>
      </c>
      <c r="B175" t="inlineStr">
        <is>
          <t>avverkningsanmälan</t>
        </is>
      </c>
      <c r="C175" t="inlineStr">
        <is>
          <t>Föryngringsavverkning</t>
        </is>
      </c>
      <c r="D175" s="1" t="n">
        <v>45007</v>
      </c>
      <c r="E175" s="1" t="n">
        <v>46223</v>
      </c>
      <c r="F175" t="inlineStr">
        <is>
          <t>GÄVLEBORGS LÄN</t>
        </is>
      </c>
      <c r="G175" t="inlineStr">
        <is>
          <t>HOFORS</t>
        </is>
      </c>
      <c r="H175" t="inlineStr">
        <is>
          <t>Övriga statliga verk och myndigheter</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24988-2023</t>
        </is>
      </c>
      <c r="B176" t="inlineStr">
        <is>
          <t>avverkningsanmälan</t>
        </is>
      </c>
      <c r="C176" t="inlineStr">
        <is>
          <t>Föryngringsavverkning</t>
        </is>
      </c>
      <c r="D176" s="1" t="n">
        <v>45085</v>
      </c>
      <c r="E176" s="1" t="n">
        <v>46223</v>
      </c>
      <c r="F176" t="inlineStr">
        <is>
          <t>GÄVLEBORGS LÄN</t>
        </is>
      </c>
      <c r="G176" t="inlineStr">
        <is>
          <t>HOFORS</t>
        </is>
      </c>
      <c r="H176" t="inlineStr">
        <is>
          <t>Sveaskog</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8321-2026</t>
        </is>
      </c>
      <c r="B177" t="inlineStr">
        <is>
          <t>avverkningsanmälan</t>
        </is>
      </c>
      <c r="C177" t="inlineStr">
        <is>
          <t>Föryngringsavverkning</t>
        </is>
      </c>
      <c r="D177" s="1" t="n">
        <v>46064</v>
      </c>
      <c r="E177" s="1" t="n">
        <v>46223</v>
      </c>
      <c r="F177" t="inlineStr">
        <is>
          <t>GÄVLEBORGS LÄN</t>
        </is>
      </c>
      <c r="G177" t="inlineStr">
        <is>
          <t>HOFORS</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11873-2026</t>
        </is>
      </c>
      <c r="B178" t="inlineStr">
        <is>
          <t>avverkningsanmälan</t>
        </is>
      </c>
      <c r="C178" t="inlineStr">
        <is>
          <t>Föryngringsavverkning</t>
        </is>
      </c>
      <c r="D178" s="1" t="n">
        <v>46085</v>
      </c>
      <c r="E178" s="1" t="n">
        <v>46223</v>
      </c>
      <c r="F178" t="inlineStr">
        <is>
          <t>GÄVLEBORGS LÄN</t>
        </is>
      </c>
      <c r="G178" t="inlineStr">
        <is>
          <t>HOFORS</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12705-2026</t>
        </is>
      </c>
      <c r="B179" t="inlineStr">
        <is>
          <t>avverkningsanmälan</t>
        </is>
      </c>
      <c r="C179" t="inlineStr">
        <is>
          <t>Föryngringsavverkning</t>
        </is>
      </c>
      <c r="D179" s="1" t="n">
        <v>46091</v>
      </c>
      <c r="E179" s="1" t="n">
        <v>46223</v>
      </c>
      <c r="F179" t="inlineStr">
        <is>
          <t>GÄVLEBORGS LÄN</t>
        </is>
      </c>
      <c r="G179" t="inlineStr">
        <is>
          <t>HOFORS</t>
        </is>
      </c>
      <c r="H179" t="inlineStr">
        <is>
          <t>Bergvik skog öst AB</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47524-2024</t>
        </is>
      </c>
      <c r="B180" t="inlineStr">
        <is>
          <t>avverkningsanmälan</t>
        </is>
      </c>
      <c r="C180" t="inlineStr">
        <is>
          <t>Föryngringsavverkning</t>
        </is>
      </c>
      <c r="D180" s="1" t="n">
        <v>45587</v>
      </c>
      <c r="E180" s="1" t="n">
        <v>46223</v>
      </c>
      <c r="F180" t="inlineStr">
        <is>
          <t>GÄVLEBORGS LÄN</t>
        </is>
      </c>
      <c r="G180" t="inlineStr">
        <is>
          <t>HOFORS</t>
        </is>
      </c>
      <c r="I180" t="n">
        <v>3.1</v>
      </c>
      <c r="J180" t="n">
        <v>0</v>
      </c>
      <c r="K180" t="n">
        <v>0</v>
      </c>
      <c r="L180" t="n">
        <v>0</v>
      </c>
      <c r="M180" t="n">
        <v>0</v>
      </c>
      <c r="N180" t="n">
        <v>0</v>
      </c>
      <c r="O180" t="n">
        <v>0</v>
      </c>
      <c r="P180" t="n">
        <v>0</v>
      </c>
      <c r="Q180" t="n">
        <v>0</v>
      </c>
      <c r="R180" t="n">
        <v>0</v>
      </c>
      <c r="S180" t="n">
        <v>0</v>
      </c>
      <c r="T180" t="n">
        <v>0</v>
      </c>
      <c r="U180" s="2" t="inlineStr"/>
    </row>
    <row r="181" ht="15" customHeight="1">
      <c r="A181" t="inlineStr">
        <is>
          <t>A 35136-2023</t>
        </is>
      </c>
      <c r="B181" t="inlineStr">
        <is>
          <t>avverkningsanmälan</t>
        </is>
      </c>
      <c r="C181" t="inlineStr">
        <is>
          <t>Föryngringsavverkning</t>
        </is>
      </c>
      <c r="D181" s="1" t="n">
        <v>45145</v>
      </c>
      <c r="E181" s="1" t="n">
        <v>46223</v>
      </c>
      <c r="F181" t="inlineStr">
        <is>
          <t>GÄVLEBORGS LÄN</t>
        </is>
      </c>
      <c r="G181" t="inlineStr">
        <is>
          <t>HOFORS</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19401-2026</t>
        </is>
      </c>
      <c r="B182" t="inlineStr">
        <is>
          <t>avverkningsanmälan</t>
        </is>
      </c>
      <c r="C182" t="inlineStr">
        <is>
          <t>Föryngringsavverkning</t>
        </is>
      </c>
      <c r="D182" s="1" t="n">
        <v>46133</v>
      </c>
      <c r="E182" s="1" t="n">
        <v>46223</v>
      </c>
      <c r="F182" t="inlineStr">
        <is>
          <t>GÄVLEBORGS LÄN</t>
        </is>
      </c>
      <c r="G182" t="inlineStr">
        <is>
          <t>HOFORS</t>
        </is>
      </c>
      <c r="H182" t="inlineStr">
        <is>
          <t>Bergvik skog öst AB</t>
        </is>
      </c>
      <c r="I182" t="n">
        <v>3.1</v>
      </c>
      <c r="J182" t="n">
        <v>0</v>
      </c>
      <c r="K182" t="n">
        <v>0</v>
      </c>
      <c r="L182" t="n">
        <v>0</v>
      </c>
      <c r="M182" t="n">
        <v>0</v>
      </c>
      <c r="N182" t="n">
        <v>0</v>
      </c>
      <c r="O182" t="n">
        <v>0</v>
      </c>
      <c r="P182" t="n">
        <v>0</v>
      </c>
      <c r="Q182" t="n">
        <v>0</v>
      </c>
      <c r="R182" t="n">
        <v>0</v>
      </c>
      <c r="S182" t="n">
        <v>0</v>
      </c>
      <c r="T182" t="n">
        <v>0</v>
      </c>
      <c r="U182" s="2" t="inlineStr"/>
    </row>
    <row r="183" ht="15" customHeight="1">
      <c r="A183" t="inlineStr">
        <is>
          <t>A 11871-2026</t>
        </is>
      </c>
      <c r="B183" t="inlineStr">
        <is>
          <t>avverkningsanmälan</t>
        </is>
      </c>
      <c r="C183" t="inlineStr">
        <is>
          <t>Föryngringsavverkning</t>
        </is>
      </c>
      <c r="D183" s="1" t="n">
        <v>46085</v>
      </c>
      <c r="E183" s="1" t="n">
        <v>46223</v>
      </c>
      <c r="F183" t="inlineStr">
        <is>
          <t>GÄVLEBORGS LÄN</t>
        </is>
      </c>
      <c r="G183" t="inlineStr">
        <is>
          <t>HOFORS</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11277-2026</t>
        </is>
      </c>
      <c r="B184" t="inlineStr">
        <is>
          <t>avverkningsanmälan</t>
        </is>
      </c>
      <c r="C184" t="inlineStr">
        <is>
          <t>Föryngringsavverkning</t>
        </is>
      </c>
      <c r="D184" s="1" t="n">
        <v>46080</v>
      </c>
      <c r="E184" s="1" t="n">
        <v>46223</v>
      </c>
      <c r="F184" t="inlineStr">
        <is>
          <t>GÄVLEBORGS LÄN</t>
        </is>
      </c>
      <c r="G184" t="inlineStr">
        <is>
          <t>HOFORS</t>
        </is>
      </c>
      <c r="H184" t="inlineStr">
        <is>
          <t>Sveaskog</t>
        </is>
      </c>
      <c r="I184" t="n">
        <v>2.1</v>
      </c>
      <c r="J184" t="n">
        <v>0</v>
      </c>
      <c r="K184" t="n">
        <v>0</v>
      </c>
      <c r="L184" t="n">
        <v>0</v>
      </c>
      <c r="M184" t="n">
        <v>0</v>
      </c>
      <c r="N184" t="n">
        <v>0</v>
      </c>
      <c r="O184" t="n">
        <v>0</v>
      </c>
      <c r="P184" t="n">
        <v>0</v>
      </c>
      <c r="Q184" t="n">
        <v>0</v>
      </c>
      <c r="R184" t="n">
        <v>0</v>
      </c>
      <c r="S184" t="n">
        <v>0</v>
      </c>
      <c r="T184" t="n">
        <v>0</v>
      </c>
      <c r="U184" s="2" t="inlineStr"/>
    </row>
    <row r="185" ht="15" customHeight="1">
      <c r="A185" t="inlineStr">
        <is>
          <t>A 43885-2025</t>
        </is>
      </c>
      <c r="B185" t="inlineStr">
        <is>
          <t>avverkningsanmälan</t>
        </is>
      </c>
      <c r="C185" t="inlineStr">
        <is>
          <t>Föryngringsavverkning</t>
        </is>
      </c>
      <c r="D185" s="1" t="n">
        <v>45912</v>
      </c>
      <c r="E185" s="1" t="n">
        <v>46223</v>
      </c>
      <c r="F185" t="inlineStr">
        <is>
          <t>GÄVLEBORGS LÄN</t>
        </is>
      </c>
      <c r="G185" t="inlineStr">
        <is>
          <t>HOFORS</t>
        </is>
      </c>
      <c r="H185" t="inlineStr">
        <is>
          <t>Sveaskog</t>
        </is>
      </c>
      <c r="I185" t="n">
        <v>1.6</v>
      </c>
      <c r="J185" t="n">
        <v>0</v>
      </c>
      <c r="K185" t="n">
        <v>0</v>
      </c>
      <c r="L185" t="n">
        <v>0</v>
      </c>
      <c r="M185" t="n">
        <v>0</v>
      </c>
      <c r="N185" t="n">
        <v>0</v>
      </c>
      <c r="O185" t="n">
        <v>0</v>
      </c>
      <c r="P185" t="n">
        <v>0</v>
      </c>
      <c r="Q185" t="n">
        <v>0</v>
      </c>
      <c r="R185" t="n">
        <v>0</v>
      </c>
      <c r="S185" t="n">
        <v>0</v>
      </c>
      <c r="T185" t="n">
        <v>0</v>
      </c>
      <c r="U185" s="2" t="inlineStr"/>
    </row>
    <row r="186" ht="15" customHeight="1">
      <c r="A186" t="inlineStr">
        <is>
          <t>A 37693-2023</t>
        </is>
      </c>
      <c r="B186" t="inlineStr">
        <is>
          <t>avverkningsanmälan</t>
        </is>
      </c>
      <c r="C186" t="inlineStr">
        <is>
          <t>Föryngringsavverkning</t>
        </is>
      </c>
      <c r="D186" s="1" t="n">
        <v>45159</v>
      </c>
      <c r="E186" s="1" t="n">
        <v>46223</v>
      </c>
      <c r="F186" t="inlineStr">
        <is>
          <t>GÄVLEBORGS LÄN</t>
        </is>
      </c>
      <c r="G186" t="inlineStr">
        <is>
          <t>HOFORS</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37763-2023</t>
        </is>
      </c>
      <c r="B187" t="inlineStr">
        <is>
          <t>avverkningsanmälan</t>
        </is>
      </c>
      <c r="C187" t="inlineStr">
        <is>
          <t>Föryngringsavverkning</t>
        </is>
      </c>
      <c r="D187" s="1" t="n">
        <v>45156</v>
      </c>
      <c r="E187" s="1" t="n">
        <v>46223</v>
      </c>
      <c r="F187" t="inlineStr">
        <is>
          <t>GÄVLEBORGS LÄN</t>
        </is>
      </c>
      <c r="G187" t="inlineStr">
        <is>
          <t>HOFORS</t>
        </is>
      </c>
      <c r="I187" t="n">
        <v>2.9</v>
      </c>
      <c r="J187" t="n">
        <v>0</v>
      </c>
      <c r="K187" t="n">
        <v>0</v>
      </c>
      <c r="L187" t="n">
        <v>0</v>
      </c>
      <c r="M187" t="n">
        <v>0</v>
      </c>
      <c r="N187" t="n">
        <v>0</v>
      </c>
      <c r="O187" t="n">
        <v>0</v>
      </c>
      <c r="P187" t="n">
        <v>0</v>
      </c>
      <c r="Q187" t="n">
        <v>0</v>
      </c>
      <c r="R187" t="n">
        <v>0</v>
      </c>
      <c r="S187" t="n">
        <v>0</v>
      </c>
      <c r="T187" t="n">
        <v>0</v>
      </c>
      <c r="U187" s="2" t="inlineStr"/>
    </row>
    <row r="188" ht="15" customHeight="1">
      <c r="A188" t="inlineStr">
        <is>
          <t>A 15217-2026</t>
        </is>
      </c>
      <c r="B188" t="inlineStr">
        <is>
          <t>avverkningsanmälan</t>
        </is>
      </c>
      <c r="C188" t="inlineStr">
        <is>
          <t>Föryngringsavverkning</t>
        </is>
      </c>
      <c r="D188" s="1" t="n">
        <v>46105</v>
      </c>
      <c r="E188" s="1" t="n">
        <v>46223</v>
      </c>
      <c r="F188" t="inlineStr">
        <is>
          <t>GÄVLEBORGS LÄN</t>
        </is>
      </c>
      <c r="G188" t="inlineStr">
        <is>
          <t>HOFORS</t>
        </is>
      </c>
      <c r="H188" t="inlineStr">
        <is>
          <t>Sveaskog</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25474-2024</t>
        </is>
      </c>
      <c r="B189" t="inlineStr">
        <is>
          <t>avverkningsanmälan</t>
        </is>
      </c>
      <c r="C189" t="inlineStr">
        <is>
          <t>Föryngringsavverkning</t>
        </is>
      </c>
      <c r="D189" s="1" t="n">
        <v>45463</v>
      </c>
      <c r="E189" s="1" t="n">
        <v>46223</v>
      </c>
      <c r="F189" t="inlineStr">
        <is>
          <t>GÄVLEBORGS LÄN</t>
        </is>
      </c>
      <c r="G189" t="inlineStr">
        <is>
          <t>HOFORS</t>
        </is>
      </c>
      <c r="H189" t="inlineStr">
        <is>
          <t>Sveaskog</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16888-2026</t>
        </is>
      </c>
      <c r="B190" t="inlineStr">
        <is>
          <t>avverkningsanmälan</t>
        </is>
      </c>
      <c r="C190" t="inlineStr">
        <is>
          <t>Föryngringsavverkning</t>
        </is>
      </c>
      <c r="D190" s="1" t="n">
        <v>46113</v>
      </c>
      <c r="E190" s="1" t="n">
        <v>46223</v>
      </c>
      <c r="F190" t="inlineStr">
        <is>
          <t>GÄVLEBORGS LÄN</t>
        </is>
      </c>
      <c r="G190" t="inlineStr">
        <is>
          <t>HOFORS</t>
        </is>
      </c>
      <c r="I190" t="n">
        <v>2</v>
      </c>
      <c r="J190" t="n">
        <v>0</v>
      </c>
      <c r="K190" t="n">
        <v>0</v>
      </c>
      <c r="L190" t="n">
        <v>0</v>
      </c>
      <c r="M190" t="n">
        <v>0</v>
      </c>
      <c r="N190" t="n">
        <v>0</v>
      </c>
      <c r="O190" t="n">
        <v>0</v>
      </c>
      <c r="P190" t="n">
        <v>0</v>
      </c>
      <c r="Q190" t="n">
        <v>0</v>
      </c>
      <c r="R190" t="n">
        <v>0</v>
      </c>
      <c r="S190" t="n">
        <v>0</v>
      </c>
      <c r="T190" t="n">
        <v>0</v>
      </c>
      <c r="U190" s="2" t="inlineStr"/>
    </row>
    <row r="191" ht="15" customHeight="1">
      <c r="A191" t="inlineStr">
        <is>
          <t>A 35498-2024</t>
        </is>
      </c>
      <c r="B191" t="inlineStr">
        <is>
          <t>avverkningsanmälan</t>
        </is>
      </c>
      <c r="C191" t="inlineStr">
        <is>
          <t>Föryngringsavverkning</t>
        </is>
      </c>
      <c r="D191" s="1" t="n">
        <v>45531</v>
      </c>
      <c r="E191" s="1" t="n">
        <v>46223</v>
      </c>
      <c r="F191" t="inlineStr">
        <is>
          <t>GÄVLEBORGS LÄN</t>
        </is>
      </c>
      <c r="G191" t="inlineStr">
        <is>
          <t>HOFORS</t>
        </is>
      </c>
      <c r="H191" t="inlineStr">
        <is>
          <t>Sveaskog</t>
        </is>
      </c>
      <c r="I191" t="n">
        <v>2.7</v>
      </c>
      <c r="J191" t="n">
        <v>0</v>
      </c>
      <c r="K191" t="n">
        <v>0</v>
      </c>
      <c r="L191" t="n">
        <v>0</v>
      </c>
      <c r="M191" t="n">
        <v>0</v>
      </c>
      <c r="N191" t="n">
        <v>0</v>
      </c>
      <c r="O191" t="n">
        <v>0</v>
      </c>
      <c r="P191" t="n">
        <v>0</v>
      </c>
      <c r="Q191" t="n">
        <v>0</v>
      </c>
      <c r="R191" t="n">
        <v>0</v>
      </c>
      <c r="S191" t="n">
        <v>0</v>
      </c>
      <c r="T191" t="n">
        <v>0</v>
      </c>
      <c r="U191" s="2" t="inlineStr"/>
    </row>
    <row r="192" ht="15" customHeight="1">
      <c r="A192" t="inlineStr">
        <is>
          <t>A 8448-2025</t>
        </is>
      </c>
      <c r="B192" t="inlineStr">
        <is>
          <t>avverkningsanmälan</t>
        </is>
      </c>
      <c r="C192" t="inlineStr">
        <is>
          <t>Föryngringsavverkning</t>
        </is>
      </c>
      <c r="D192" s="1" t="n">
        <v>45709</v>
      </c>
      <c r="E192" s="1" t="n">
        <v>46223</v>
      </c>
      <c r="F192" t="inlineStr">
        <is>
          <t>GÄVLEBORGS LÄN</t>
        </is>
      </c>
      <c r="G192" t="inlineStr">
        <is>
          <t>HOFORS</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17762-2022</t>
        </is>
      </c>
      <c r="B193" t="inlineStr">
        <is>
          <t>avverkningsanmälan</t>
        </is>
      </c>
      <c r="C193" t="inlineStr">
        <is>
          <t>Avverkning för att bevara och utveckla /försöksver</t>
        </is>
      </c>
      <c r="D193" s="1" t="n">
        <v>44680</v>
      </c>
      <c r="E193" s="1" t="n">
        <v>46223</v>
      </c>
      <c r="F193" t="inlineStr">
        <is>
          <t>GÄVLEBORGS LÄN</t>
        </is>
      </c>
      <c r="G193" t="inlineStr">
        <is>
          <t>HOFORS</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64036-2025</t>
        </is>
      </c>
      <c r="B194" t="inlineStr">
        <is>
          <t>avverkningsanmälan</t>
        </is>
      </c>
      <c r="C194" t="inlineStr">
        <is>
          <t>Föryngringsavverkning</t>
        </is>
      </c>
      <c r="D194" s="1" t="n">
        <v>46021</v>
      </c>
      <c r="E194" s="1" t="n">
        <v>46223</v>
      </c>
      <c r="F194" t="inlineStr">
        <is>
          <t>GÄVLEBORGS LÄN</t>
        </is>
      </c>
      <c r="G194" t="inlineStr">
        <is>
          <t>HOFORS</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26515-2026</t>
        </is>
      </c>
      <c r="B195" t="inlineStr">
        <is>
          <t>avverkningsanmälan</t>
        </is>
      </c>
      <c r="C195" t="inlineStr">
        <is>
          <t>Avverkning för annat ändamål</t>
        </is>
      </c>
      <c r="D195" s="1" t="n">
        <v>46183</v>
      </c>
      <c r="E195" s="1" t="n">
        <v>46223</v>
      </c>
      <c r="F195" t="inlineStr">
        <is>
          <t>GÄVLEBORGS LÄN</t>
        </is>
      </c>
      <c r="G195" t="inlineStr">
        <is>
          <t>HOFORS</t>
        </is>
      </c>
      <c r="H195" t="inlineStr">
        <is>
          <t>Sveaskog</t>
        </is>
      </c>
      <c r="I195" t="n">
        <v>1.4</v>
      </c>
      <c r="J195" t="n">
        <v>0</v>
      </c>
      <c r="K195" t="n">
        <v>0</v>
      </c>
      <c r="L195" t="n">
        <v>0</v>
      </c>
      <c r="M195" t="n">
        <v>0</v>
      </c>
      <c r="N195" t="n">
        <v>0</v>
      </c>
      <c r="O195" t="n">
        <v>0</v>
      </c>
      <c r="P195" t="n">
        <v>0</v>
      </c>
      <c r="Q195" t="n">
        <v>0</v>
      </c>
      <c r="R195" t="n">
        <v>0</v>
      </c>
      <c r="S195" t="n">
        <v>0</v>
      </c>
      <c r="T195" t="n">
        <v>0</v>
      </c>
      <c r="U195" s="2" t="inlineStr"/>
    </row>
    <row r="196" ht="15" customHeight="1">
      <c r="A196" t="inlineStr">
        <is>
          <t>A 33296-2023</t>
        </is>
      </c>
      <c r="B196" t="inlineStr">
        <is>
          <t>avverkningsanmälan</t>
        </is>
      </c>
      <c r="C196" t="inlineStr">
        <is>
          <t>Föryngringsavverkning</t>
        </is>
      </c>
      <c r="D196" s="1" t="n">
        <v>45127</v>
      </c>
      <c r="E196" s="1" t="n">
        <v>46223</v>
      </c>
      <c r="F196" t="inlineStr">
        <is>
          <t>GÄVLEBORGS LÄN</t>
        </is>
      </c>
      <c r="G196" t="inlineStr">
        <is>
          <t>HOFORS</t>
        </is>
      </c>
      <c r="H196" t="inlineStr">
        <is>
          <t>Sveaskog</t>
        </is>
      </c>
      <c r="I196" t="n">
        <v>6.4</v>
      </c>
      <c r="J196" t="n">
        <v>0</v>
      </c>
      <c r="K196" t="n">
        <v>0</v>
      </c>
      <c r="L196" t="n">
        <v>0</v>
      </c>
      <c r="M196" t="n">
        <v>0</v>
      </c>
      <c r="N196" t="n">
        <v>0</v>
      </c>
      <c r="O196" t="n">
        <v>0</v>
      </c>
      <c r="P196" t="n">
        <v>0</v>
      </c>
      <c r="Q196" t="n">
        <v>0</v>
      </c>
      <c r="R196" t="n">
        <v>0</v>
      </c>
      <c r="S196" t="n">
        <v>0</v>
      </c>
      <c r="T196" t="n">
        <v>0</v>
      </c>
      <c r="U196" s="2" t="inlineStr"/>
    </row>
    <row r="197" ht="15" customHeight="1">
      <c r="A197" t="inlineStr">
        <is>
          <t>A 22129-2023</t>
        </is>
      </c>
      <c r="B197" t="inlineStr">
        <is>
          <t>avverkningsanmälan</t>
        </is>
      </c>
      <c r="C197" t="inlineStr">
        <is>
          <t>Avverkning för annat ändamål</t>
        </is>
      </c>
      <c r="D197" s="1" t="n">
        <v>45069</v>
      </c>
      <c r="E197" s="1" t="n">
        <v>46223</v>
      </c>
      <c r="F197" t="inlineStr">
        <is>
          <t>GÄVLEBORGS LÄN</t>
        </is>
      </c>
      <c r="G197" t="inlineStr">
        <is>
          <t>HOFORS</t>
        </is>
      </c>
      <c r="H197" t="inlineStr">
        <is>
          <t>Sveaskog</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26516-2026</t>
        </is>
      </c>
      <c r="B198" t="inlineStr">
        <is>
          <t>avverkningsanmälan</t>
        </is>
      </c>
      <c r="C198" t="inlineStr">
        <is>
          <t>Avverkning för annat ändamål</t>
        </is>
      </c>
      <c r="D198" s="1" t="n">
        <v>46183</v>
      </c>
      <c r="E198" s="1" t="n">
        <v>46223</v>
      </c>
      <c r="F198" t="inlineStr">
        <is>
          <t>GÄVLEBORGS LÄN</t>
        </is>
      </c>
      <c r="G198" t="inlineStr">
        <is>
          <t>HOFORS</t>
        </is>
      </c>
      <c r="H198" t="inlineStr">
        <is>
          <t>Sveaskog</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12922-2026</t>
        </is>
      </c>
      <c r="B199" t="inlineStr">
        <is>
          <t>avverkningsanmälan</t>
        </is>
      </c>
      <c r="C199" t="inlineStr">
        <is>
          <t>Föryngringsavverkning</t>
        </is>
      </c>
      <c r="D199" s="1" t="n">
        <v>46092</v>
      </c>
      <c r="E199" s="1" t="n">
        <v>46223</v>
      </c>
      <c r="F199" t="inlineStr">
        <is>
          <t>GÄVLEBORGS LÄN</t>
        </is>
      </c>
      <c r="G199" t="inlineStr">
        <is>
          <t>HOFORS</t>
        </is>
      </c>
      <c r="H199" t="inlineStr">
        <is>
          <t>Sveaskog</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57400-2024</t>
        </is>
      </c>
      <c r="B200" t="inlineStr">
        <is>
          <t>avverkningsanmälan</t>
        </is>
      </c>
      <c r="C200" t="inlineStr">
        <is>
          <t>Föryngringsavverkning</t>
        </is>
      </c>
      <c r="D200" s="1" t="n">
        <v>45629</v>
      </c>
      <c r="E200" s="1" t="n">
        <v>46223</v>
      </c>
      <c r="F200" t="inlineStr">
        <is>
          <t>GÄVLEBORGS LÄN</t>
        </is>
      </c>
      <c r="G200" t="inlineStr">
        <is>
          <t>HOFORS</t>
        </is>
      </c>
      <c r="I200" t="n">
        <v>2.7</v>
      </c>
      <c r="J200" t="n">
        <v>0</v>
      </c>
      <c r="K200" t="n">
        <v>0</v>
      </c>
      <c r="L200" t="n">
        <v>0</v>
      </c>
      <c r="M200" t="n">
        <v>0</v>
      </c>
      <c r="N200" t="n">
        <v>0</v>
      </c>
      <c r="O200" t="n">
        <v>0</v>
      </c>
      <c r="P200" t="n">
        <v>0</v>
      </c>
      <c r="Q200" t="n">
        <v>0</v>
      </c>
      <c r="R200" t="n">
        <v>0</v>
      </c>
      <c r="S200" t="n">
        <v>0</v>
      </c>
      <c r="T200" t="n">
        <v>0</v>
      </c>
      <c r="U200" s="2" t="inlineStr"/>
    </row>
    <row r="201" ht="15" customHeight="1">
      <c r="A201" t="inlineStr">
        <is>
          <t>A 17179-2025</t>
        </is>
      </c>
      <c r="B201" t="inlineStr">
        <is>
          <t>avverkningsanmälan</t>
        </is>
      </c>
      <c r="C201" t="inlineStr">
        <is>
          <t>Föryngringsavverkning</t>
        </is>
      </c>
      <c r="D201" s="1" t="n">
        <v>45755</v>
      </c>
      <c r="E201" s="1" t="n">
        <v>46223</v>
      </c>
      <c r="F201" t="inlineStr">
        <is>
          <t>GÄVLEBORGS LÄN</t>
        </is>
      </c>
      <c r="G201" t="inlineStr">
        <is>
          <t>HOFORS</t>
        </is>
      </c>
      <c r="H201" t="inlineStr">
        <is>
          <t>Bergvik skog väst AB</t>
        </is>
      </c>
      <c r="I201" t="n">
        <v>1.3</v>
      </c>
      <c r="J201" t="n">
        <v>0</v>
      </c>
      <c r="K201" t="n">
        <v>0</v>
      </c>
      <c r="L201" t="n">
        <v>0</v>
      </c>
      <c r="M201" t="n">
        <v>0</v>
      </c>
      <c r="N201" t="n">
        <v>0</v>
      </c>
      <c r="O201" t="n">
        <v>0</v>
      </c>
      <c r="P201" t="n">
        <v>0</v>
      </c>
      <c r="Q201" t="n">
        <v>0</v>
      </c>
      <c r="R201" t="n">
        <v>0</v>
      </c>
      <c r="S201" t="n">
        <v>0</v>
      </c>
      <c r="T201" t="n">
        <v>0</v>
      </c>
      <c r="U201" s="2" t="inlineStr"/>
    </row>
    <row r="202" ht="15" customHeight="1">
      <c r="A202" t="inlineStr">
        <is>
          <t>A 58955-2023</t>
        </is>
      </c>
      <c r="B202" t="inlineStr">
        <is>
          <t>avverkningsanmälan</t>
        </is>
      </c>
      <c r="C202" t="inlineStr">
        <is>
          <t>Föryngringsavverkning</t>
        </is>
      </c>
      <c r="D202" s="1" t="n">
        <v>45252</v>
      </c>
      <c r="E202" s="1" t="n">
        <v>46223</v>
      </c>
      <c r="F202" t="inlineStr">
        <is>
          <t>GÄVLEBORGS LÄN</t>
        </is>
      </c>
      <c r="G202" t="inlineStr">
        <is>
          <t>HOFORS</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64359-2023</t>
        </is>
      </c>
      <c r="B203" t="inlineStr">
        <is>
          <t>avverkningsanmälan</t>
        </is>
      </c>
      <c r="C203" t="inlineStr">
        <is>
          <t>Föryngringsavverkning</t>
        </is>
      </c>
      <c r="D203" s="1" t="n">
        <v>45280</v>
      </c>
      <c r="E203" s="1" t="n">
        <v>46223</v>
      </c>
      <c r="F203" t="inlineStr">
        <is>
          <t>GÄVLEBORGS LÄN</t>
        </is>
      </c>
      <c r="G203" t="inlineStr">
        <is>
          <t>HOFORS</t>
        </is>
      </c>
      <c r="I203" t="n">
        <v>4.7</v>
      </c>
      <c r="J203" t="n">
        <v>0</v>
      </c>
      <c r="K203" t="n">
        <v>0</v>
      </c>
      <c r="L203" t="n">
        <v>0</v>
      </c>
      <c r="M203" t="n">
        <v>0</v>
      </c>
      <c r="N203" t="n">
        <v>0</v>
      </c>
      <c r="O203" t="n">
        <v>0</v>
      </c>
      <c r="P203" t="n">
        <v>0</v>
      </c>
      <c r="Q203" t="n">
        <v>0</v>
      </c>
      <c r="R203" t="n">
        <v>0</v>
      </c>
      <c r="S203" t="n">
        <v>0</v>
      </c>
      <c r="T203" t="n">
        <v>0</v>
      </c>
      <c r="U203" s="2" t="inlineStr"/>
    </row>
    <row r="204" ht="15" customHeight="1">
      <c r="A204" t="inlineStr">
        <is>
          <t>A 58373-2023</t>
        </is>
      </c>
      <c r="B204" t="inlineStr">
        <is>
          <t>avverkningsanmälan</t>
        </is>
      </c>
      <c r="C204" t="inlineStr">
        <is>
          <t>Föryngringsavverkning</t>
        </is>
      </c>
      <c r="D204" s="1" t="n">
        <v>45250</v>
      </c>
      <c r="E204" s="1" t="n">
        <v>46223</v>
      </c>
      <c r="F204" t="inlineStr">
        <is>
          <t>GÄVLEBORGS LÄN</t>
        </is>
      </c>
      <c r="G204" t="inlineStr">
        <is>
          <t>HOFORS</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38251-2022</t>
        </is>
      </c>
      <c r="B205" t="inlineStr">
        <is>
          <t>avverkningsanmälan</t>
        </is>
      </c>
      <c r="C205" t="inlineStr">
        <is>
          <t>Föryngringsavverkning</t>
        </is>
      </c>
      <c r="D205" s="1" t="n">
        <v>44812</v>
      </c>
      <c r="E205" s="1" t="n">
        <v>46223</v>
      </c>
      <c r="F205" t="inlineStr">
        <is>
          <t>GÄVLEBORGS LÄN</t>
        </is>
      </c>
      <c r="G205" t="inlineStr">
        <is>
          <t>HOFORS</t>
        </is>
      </c>
      <c r="I205" t="n">
        <v>3.5</v>
      </c>
      <c r="J205" t="n">
        <v>0</v>
      </c>
      <c r="K205" t="n">
        <v>0</v>
      </c>
      <c r="L205" t="n">
        <v>0</v>
      </c>
      <c r="M205" t="n">
        <v>0</v>
      </c>
      <c r="N205" t="n">
        <v>0</v>
      </c>
      <c r="O205" t="n">
        <v>0</v>
      </c>
      <c r="P205" t="n">
        <v>0</v>
      </c>
      <c r="Q205" t="n">
        <v>0</v>
      </c>
      <c r="R205" t="n">
        <v>0</v>
      </c>
      <c r="S205" t="n">
        <v>0</v>
      </c>
      <c r="T205" t="n">
        <v>0</v>
      </c>
      <c r="U205" s="2" t="inlineStr"/>
    </row>
    <row r="206" ht="15" customHeight="1">
      <c r="A206" t="inlineStr">
        <is>
          <t>A 28329-2026</t>
        </is>
      </c>
      <c r="B206" t="inlineStr">
        <is>
          <t>avverkningsanmälan</t>
        </is>
      </c>
      <c r="C206" t="inlineStr">
        <is>
          <t>Föryngringsavverkning</t>
        </is>
      </c>
      <c r="D206" s="1" t="n">
        <v>46196</v>
      </c>
      <c r="E206" s="1" t="n">
        <v>46223</v>
      </c>
      <c r="F206" t="inlineStr">
        <is>
          <t>GÄVLEBORGS LÄN</t>
        </is>
      </c>
      <c r="G206" t="inlineStr">
        <is>
          <t>HOFORS</t>
        </is>
      </c>
      <c r="H206" t="inlineStr">
        <is>
          <t>Sveaskog</t>
        </is>
      </c>
      <c r="I206" t="n">
        <v>3.1</v>
      </c>
      <c r="J206" t="n">
        <v>0</v>
      </c>
      <c r="K206" t="n">
        <v>0</v>
      </c>
      <c r="L206" t="n">
        <v>0</v>
      </c>
      <c r="M206" t="n">
        <v>0</v>
      </c>
      <c r="N206" t="n">
        <v>0</v>
      </c>
      <c r="O206" t="n">
        <v>0</v>
      </c>
      <c r="P206" t="n">
        <v>0</v>
      </c>
      <c r="Q206" t="n">
        <v>0</v>
      </c>
      <c r="R206" t="n">
        <v>0</v>
      </c>
      <c r="S206" t="n">
        <v>0</v>
      </c>
      <c r="T206" t="n">
        <v>0</v>
      </c>
      <c r="U206" s="2" t="inlineStr"/>
    </row>
    <row r="207" ht="15" customHeight="1">
      <c r="A207" t="inlineStr">
        <is>
          <t>A 28330-2026</t>
        </is>
      </c>
      <c r="B207" t="inlineStr">
        <is>
          <t>avverkningsanmälan</t>
        </is>
      </c>
      <c r="C207" t="inlineStr">
        <is>
          <t>Föryngringsavverkning</t>
        </is>
      </c>
      <c r="D207" s="1" t="n">
        <v>46196</v>
      </c>
      <c r="E207" s="1" t="n">
        <v>46223</v>
      </c>
      <c r="F207" t="inlineStr">
        <is>
          <t>GÄVLEBORGS LÄN</t>
        </is>
      </c>
      <c r="G207" t="inlineStr">
        <is>
          <t>HOFORS</t>
        </is>
      </c>
      <c r="H207" t="inlineStr">
        <is>
          <t>Sveaskog</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3614-2026</t>
        </is>
      </c>
      <c r="B208" t="inlineStr">
        <is>
          <t>avverkningsanmälan</t>
        </is>
      </c>
      <c r="C208" t="inlineStr">
        <is>
          <t>Föryngringsavverkning</t>
        </is>
      </c>
      <c r="D208" s="1" t="n">
        <v>46042</v>
      </c>
      <c r="E208" s="1" t="n">
        <v>46223</v>
      </c>
      <c r="F208" t="inlineStr">
        <is>
          <t>GÄVLEBORGS LÄN</t>
        </is>
      </c>
      <c r="G208" t="inlineStr">
        <is>
          <t>HOFORS</t>
        </is>
      </c>
      <c r="I208" t="n">
        <v>2.2</v>
      </c>
      <c r="J208" t="n">
        <v>0</v>
      </c>
      <c r="K208" t="n">
        <v>0</v>
      </c>
      <c r="L208" t="n">
        <v>0</v>
      </c>
      <c r="M208" t="n">
        <v>0</v>
      </c>
      <c r="N208" t="n">
        <v>0</v>
      </c>
      <c r="O208" t="n">
        <v>0</v>
      </c>
      <c r="P208" t="n">
        <v>0</v>
      </c>
      <c r="Q208" t="n">
        <v>0</v>
      </c>
      <c r="R208" t="n">
        <v>0</v>
      </c>
      <c r="S208" t="n">
        <v>0</v>
      </c>
      <c r="T208" t="n">
        <v>0</v>
      </c>
      <c r="U208" s="2" t="inlineStr"/>
    </row>
    <row r="209" ht="15" customHeight="1">
      <c r="A209" t="inlineStr">
        <is>
          <t>A 47459-2023</t>
        </is>
      </c>
      <c r="B209" t="inlineStr">
        <is>
          <t>avverkningsanmälan</t>
        </is>
      </c>
      <c r="C209" t="inlineStr">
        <is>
          <t>Föryngringsavverkning</t>
        </is>
      </c>
      <c r="D209" s="1" t="n">
        <v>45202</v>
      </c>
      <c r="E209" s="1" t="n">
        <v>46223</v>
      </c>
      <c r="F209" t="inlineStr">
        <is>
          <t>GÄVLEBORGS LÄN</t>
        </is>
      </c>
      <c r="G209" t="inlineStr">
        <is>
          <t>HOFORS</t>
        </is>
      </c>
      <c r="I209" t="n">
        <v>6</v>
      </c>
      <c r="J209" t="n">
        <v>0</v>
      </c>
      <c r="K209" t="n">
        <v>0</v>
      </c>
      <c r="L209" t="n">
        <v>0</v>
      </c>
      <c r="M209" t="n">
        <v>0</v>
      </c>
      <c r="N209" t="n">
        <v>0</v>
      </c>
      <c r="O209" t="n">
        <v>0</v>
      </c>
      <c r="P209" t="n">
        <v>0</v>
      </c>
      <c r="Q209" t="n">
        <v>0</v>
      </c>
      <c r="R209" t="n">
        <v>0</v>
      </c>
      <c r="S209" t="n">
        <v>0</v>
      </c>
      <c r="T209" t="n">
        <v>0</v>
      </c>
      <c r="U209" s="2" t="inlineStr"/>
    </row>
    <row r="210" ht="15" customHeight="1">
      <c r="A210" t="inlineStr">
        <is>
          <t>A 68079-2021</t>
        </is>
      </c>
      <c r="B210" t="inlineStr">
        <is>
          <t>avverkningsanmälan</t>
        </is>
      </c>
      <c r="C210" t="inlineStr">
        <is>
          <t>Föryngringsavverkning</t>
        </is>
      </c>
      <c r="D210" s="1" t="n">
        <v>44526</v>
      </c>
      <c r="E210" s="1" t="n">
        <v>46223</v>
      </c>
      <c r="F210" t="inlineStr">
        <is>
          <t>GÄVLEBORGS LÄN</t>
        </is>
      </c>
      <c r="G210" t="inlineStr">
        <is>
          <t>HOFORS</t>
        </is>
      </c>
      <c r="I210" t="n">
        <v>2.3</v>
      </c>
      <c r="J210" t="n">
        <v>0</v>
      </c>
      <c r="K210" t="n">
        <v>0</v>
      </c>
      <c r="L210" t="n">
        <v>0</v>
      </c>
      <c r="M210" t="n">
        <v>0</v>
      </c>
      <c r="N210" t="n">
        <v>0</v>
      </c>
      <c r="O210" t="n">
        <v>0</v>
      </c>
      <c r="P210" t="n">
        <v>0</v>
      </c>
      <c r="Q210" t="n">
        <v>0</v>
      </c>
      <c r="R210" t="n">
        <v>0</v>
      </c>
      <c r="S210" t="n">
        <v>0</v>
      </c>
      <c r="T210" t="n">
        <v>0</v>
      </c>
      <c r="U210" s="2" t="inlineStr"/>
    </row>
    <row r="211" ht="15" customHeight="1">
      <c r="A211" t="inlineStr">
        <is>
          <t>A 3391-2026</t>
        </is>
      </c>
      <c r="B211" t="inlineStr">
        <is>
          <t>avverkningsanmälan</t>
        </is>
      </c>
      <c r="C211" t="inlineStr">
        <is>
          <t>Föryngringsavverkning</t>
        </is>
      </c>
      <c r="D211" s="1" t="n">
        <v>46042</v>
      </c>
      <c r="E211" s="1" t="n">
        <v>46223</v>
      </c>
      <c r="F211" t="inlineStr">
        <is>
          <t>GÄVLEBORGS LÄN</t>
        </is>
      </c>
      <c r="G211" t="inlineStr">
        <is>
          <t>HOFORS</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23545-2025</t>
        </is>
      </c>
      <c r="B212" t="inlineStr">
        <is>
          <t>avverkningsanmälan</t>
        </is>
      </c>
      <c r="C212" t="inlineStr">
        <is>
          <t>Avverkning för annat ändamål</t>
        </is>
      </c>
      <c r="D212" s="1" t="n">
        <v>45792</v>
      </c>
      <c r="E212" s="1" t="n">
        <v>46223</v>
      </c>
      <c r="F212" t="inlineStr">
        <is>
          <t>GÄVLEBORGS LÄN</t>
        </is>
      </c>
      <c r="G212" t="inlineStr">
        <is>
          <t>HOFORS</t>
        </is>
      </c>
      <c r="I212" t="n">
        <v>3.5</v>
      </c>
      <c r="J212" t="n">
        <v>0</v>
      </c>
      <c r="K212" t="n">
        <v>0</v>
      </c>
      <c r="L212" t="n">
        <v>0</v>
      </c>
      <c r="M212" t="n">
        <v>0</v>
      </c>
      <c r="N212" t="n">
        <v>0</v>
      </c>
      <c r="O212" t="n">
        <v>0</v>
      </c>
      <c r="P212" t="n">
        <v>0</v>
      </c>
      <c r="Q212" t="n">
        <v>0</v>
      </c>
      <c r="R212" t="n">
        <v>0</v>
      </c>
      <c r="S212" t="n">
        <v>0</v>
      </c>
      <c r="T212" t="n">
        <v>0</v>
      </c>
      <c r="U212" s="2" t="inlineStr"/>
    </row>
    <row r="213" ht="15" customHeight="1">
      <c r="A213" t="inlineStr">
        <is>
          <t>A 54826-2021</t>
        </is>
      </c>
      <c r="B213" t="inlineStr">
        <is>
          <t>avverkningsanmälan</t>
        </is>
      </c>
      <c r="C213" t="inlineStr">
        <is>
          <t>Föryngringsavverkning</t>
        </is>
      </c>
      <c r="D213" s="1" t="n">
        <v>44473</v>
      </c>
      <c r="E213" s="1" t="n">
        <v>46223</v>
      </c>
      <c r="F213" t="inlineStr">
        <is>
          <t>GÄVLEBORGS LÄN</t>
        </is>
      </c>
      <c r="G213" t="inlineStr">
        <is>
          <t>HOFORS</t>
        </is>
      </c>
      <c r="H213" t="inlineStr">
        <is>
          <t>Bergvik skog väst AB</t>
        </is>
      </c>
      <c r="I213" t="n">
        <v>6</v>
      </c>
      <c r="J213" t="n">
        <v>0</v>
      </c>
      <c r="K213" t="n">
        <v>0</v>
      </c>
      <c r="L213" t="n">
        <v>0</v>
      </c>
      <c r="M213" t="n">
        <v>0</v>
      </c>
      <c r="N213" t="n">
        <v>0</v>
      </c>
      <c r="O213" t="n">
        <v>0</v>
      </c>
      <c r="P213" t="n">
        <v>0</v>
      </c>
      <c r="Q213" t="n">
        <v>0</v>
      </c>
      <c r="R213" t="n">
        <v>0</v>
      </c>
      <c r="S213" t="n">
        <v>0</v>
      </c>
      <c r="T213" t="n">
        <v>0</v>
      </c>
      <c r="U213" s="2" t="inlineStr"/>
    </row>
    <row r="214" ht="15" customHeight="1">
      <c r="A214" t="inlineStr">
        <is>
          <t>A 29060-2026</t>
        </is>
      </c>
      <c r="B214" t="inlineStr">
        <is>
          <t>avverkningsanmälan</t>
        </is>
      </c>
      <c r="C214" t="inlineStr">
        <is>
          <t>Föryngringsavverkning</t>
        </is>
      </c>
      <c r="D214" s="1" t="n">
        <v>46199</v>
      </c>
      <c r="E214" s="1" t="n">
        <v>46223</v>
      </c>
      <c r="F214" t="inlineStr">
        <is>
          <t>GÄVLEBORGS LÄN</t>
        </is>
      </c>
      <c r="G214" t="inlineStr">
        <is>
          <t>HOFORS</t>
        </is>
      </c>
      <c r="H214" t="inlineStr">
        <is>
          <t>Sveaskog</t>
        </is>
      </c>
      <c r="I214" t="n">
        <v>3.1</v>
      </c>
      <c r="J214" t="n">
        <v>0</v>
      </c>
      <c r="K214" t="n">
        <v>0</v>
      </c>
      <c r="L214" t="n">
        <v>0</v>
      </c>
      <c r="M214" t="n">
        <v>0</v>
      </c>
      <c r="N214" t="n">
        <v>0</v>
      </c>
      <c r="O214" t="n">
        <v>0</v>
      </c>
      <c r="P214" t="n">
        <v>0</v>
      </c>
      <c r="Q214" t="n">
        <v>0</v>
      </c>
      <c r="R214" t="n">
        <v>0</v>
      </c>
      <c r="S214" t="n">
        <v>0</v>
      </c>
      <c r="T214" t="n">
        <v>0</v>
      </c>
      <c r="U214" s="2" t="inlineStr"/>
    </row>
    <row r="215" ht="15" customHeight="1">
      <c r="A215" t="inlineStr">
        <is>
          <t>A 44356-2023</t>
        </is>
      </c>
      <c r="B215" t="inlineStr">
        <is>
          <t>avverkningsanmälan</t>
        </is>
      </c>
      <c r="C215" t="inlineStr">
        <is>
          <t>Föryngringsavverkning</t>
        </is>
      </c>
      <c r="D215" s="1" t="n">
        <v>45188</v>
      </c>
      <c r="E215" s="1" t="n">
        <v>46223</v>
      </c>
      <c r="F215" t="inlineStr">
        <is>
          <t>GÄVLEBORGS LÄN</t>
        </is>
      </c>
      <c r="G215" t="inlineStr">
        <is>
          <t>HOFORS</t>
        </is>
      </c>
      <c r="I215" t="n">
        <v>2.1</v>
      </c>
      <c r="J215" t="n">
        <v>0</v>
      </c>
      <c r="K215" t="n">
        <v>0</v>
      </c>
      <c r="L215" t="n">
        <v>0</v>
      </c>
      <c r="M215" t="n">
        <v>0</v>
      </c>
      <c r="N215" t="n">
        <v>0</v>
      </c>
      <c r="O215" t="n">
        <v>0</v>
      </c>
      <c r="P215" t="n">
        <v>0</v>
      </c>
      <c r="Q215" t="n">
        <v>0</v>
      </c>
      <c r="R215" t="n">
        <v>0</v>
      </c>
      <c r="S215" t="n">
        <v>0</v>
      </c>
      <c r="T215" t="n">
        <v>0</v>
      </c>
      <c r="U215" s="2" t="inlineStr"/>
    </row>
    <row r="216" ht="15" customHeight="1">
      <c r="A216" t="inlineStr">
        <is>
          <t>A 47495-2024</t>
        </is>
      </c>
      <c r="B216" t="inlineStr">
        <is>
          <t>avverkningsanmälan</t>
        </is>
      </c>
      <c r="C216" t="inlineStr">
        <is>
          <t>Föryngringsavverkning</t>
        </is>
      </c>
      <c r="D216" s="1" t="n">
        <v>45587</v>
      </c>
      <c r="E216" s="1" t="n">
        <v>46223</v>
      </c>
      <c r="F216" t="inlineStr">
        <is>
          <t>GÄVLEBORGS LÄN</t>
        </is>
      </c>
      <c r="G216" t="inlineStr">
        <is>
          <t>HOFORS</t>
        </is>
      </c>
      <c r="H216" t="inlineStr">
        <is>
          <t>Sveaskog</t>
        </is>
      </c>
      <c r="I216" t="n">
        <v>5.2</v>
      </c>
      <c r="J216" t="n">
        <v>0</v>
      </c>
      <c r="K216" t="n">
        <v>0</v>
      </c>
      <c r="L216" t="n">
        <v>0</v>
      </c>
      <c r="M216" t="n">
        <v>0</v>
      </c>
      <c r="N216" t="n">
        <v>0</v>
      </c>
      <c r="O216" t="n">
        <v>0</v>
      </c>
      <c r="P216" t="n">
        <v>0</v>
      </c>
      <c r="Q216" t="n">
        <v>0</v>
      </c>
      <c r="R216" t="n">
        <v>0</v>
      </c>
      <c r="S216" t="n">
        <v>0</v>
      </c>
      <c r="T216" t="n">
        <v>0</v>
      </c>
      <c r="U216" s="2" t="inlineStr"/>
    </row>
    <row r="217" ht="15" customHeight="1">
      <c r="A217" t="inlineStr">
        <is>
          <t>A 23326-2026</t>
        </is>
      </c>
      <c r="B217" t="inlineStr">
        <is>
          <t>avverkningsanmälan</t>
        </is>
      </c>
      <c r="C217" t="inlineStr">
        <is>
          <t>Föryngringsavverkning</t>
        </is>
      </c>
      <c r="D217" s="1" t="n">
        <v>46162</v>
      </c>
      <c r="E217" s="1" t="n">
        <v>46223</v>
      </c>
      <c r="F217" t="inlineStr">
        <is>
          <t>GÄVLEBORGS LÄN</t>
        </is>
      </c>
      <c r="G217" t="inlineStr">
        <is>
          <t>HOFORS</t>
        </is>
      </c>
      <c r="H217" t="inlineStr">
        <is>
          <t>Sveaskog</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23334-2026</t>
        </is>
      </c>
      <c r="B218" t="inlineStr">
        <is>
          <t>avverkningsanmälan</t>
        </is>
      </c>
      <c r="C218" t="inlineStr">
        <is>
          <t>Föryngringsavverkning</t>
        </is>
      </c>
      <c r="D218" s="1" t="n">
        <v>46162</v>
      </c>
      <c r="E218" s="1" t="n">
        <v>46223</v>
      </c>
      <c r="F218" t="inlineStr">
        <is>
          <t>GÄVLEBORGS LÄN</t>
        </is>
      </c>
      <c r="G218" t="inlineStr">
        <is>
          <t>HOFORS</t>
        </is>
      </c>
      <c r="H218" t="inlineStr">
        <is>
          <t>Sveaskog</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10602-2022</t>
        </is>
      </c>
      <c r="B219" t="inlineStr">
        <is>
          <t>avverkningsanmälan</t>
        </is>
      </c>
      <c r="C219" t="inlineStr">
        <is>
          <t>Föryngringsavverkning</t>
        </is>
      </c>
      <c r="D219" s="1" t="n">
        <v>44624</v>
      </c>
      <c r="E219" s="1" t="n">
        <v>46223</v>
      </c>
      <c r="F219" t="inlineStr">
        <is>
          <t>GÄVLEBORGS LÄN</t>
        </is>
      </c>
      <c r="G219" t="inlineStr">
        <is>
          <t>HOFORS</t>
        </is>
      </c>
      <c r="I219" t="n">
        <v>7</v>
      </c>
      <c r="J219" t="n">
        <v>0</v>
      </c>
      <c r="K219" t="n">
        <v>0</v>
      </c>
      <c r="L219" t="n">
        <v>0</v>
      </c>
      <c r="M219" t="n">
        <v>0</v>
      </c>
      <c r="N219" t="n">
        <v>0</v>
      </c>
      <c r="O219" t="n">
        <v>0</v>
      </c>
      <c r="P219" t="n">
        <v>0</v>
      </c>
      <c r="Q219" t="n">
        <v>0</v>
      </c>
      <c r="R219" t="n">
        <v>0</v>
      </c>
      <c r="S219" t="n">
        <v>0</v>
      </c>
      <c r="T219" t="n">
        <v>0</v>
      </c>
      <c r="U219" s="2" t="inlineStr"/>
    </row>
    <row r="220" ht="15" customHeight="1">
      <c r="A220" t="inlineStr">
        <is>
          <t>A 31613-2023</t>
        </is>
      </c>
      <c r="B220" t="inlineStr">
        <is>
          <t>avverkningsanmälan</t>
        </is>
      </c>
      <c r="C220" t="inlineStr">
        <is>
          <t>Avverkning för att bevara och utveckla /försöksver</t>
        </is>
      </c>
      <c r="D220" s="1" t="n">
        <v>45117</v>
      </c>
      <c r="E220" s="1" t="n">
        <v>46223</v>
      </c>
      <c r="F220" t="inlineStr">
        <is>
          <t>GÄVLEBORGS LÄN</t>
        </is>
      </c>
      <c r="G220" t="inlineStr">
        <is>
          <t>HOFORS</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6958-2024</t>
        </is>
      </c>
      <c r="B221" t="inlineStr">
        <is>
          <t>avverkningsanmälan</t>
        </is>
      </c>
      <c r="C221" t="inlineStr">
        <is>
          <t>Föryngringsavverkning</t>
        </is>
      </c>
      <c r="D221" s="1" t="n">
        <v>45343</v>
      </c>
      <c r="E221" s="1" t="n">
        <v>46223</v>
      </c>
      <c r="F221" t="inlineStr">
        <is>
          <t>GÄVLEBORGS LÄN</t>
        </is>
      </c>
      <c r="G221" t="inlineStr">
        <is>
          <t>HOFORS</t>
        </is>
      </c>
      <c r="I221" t="n">
        <v>3.4</v>
      </c>
      <c r="J221" t="n">
        <v>0</v>
      </c>
      <c r="K221" t="n">
        <v>0</v>
      </c>
      <c r="L221" t="n">
        <v>0</v>
      </c>
      <c r="M221" t="n">
        <v>0</v>
      </c>
      <c r="N221" t="n">
        <v>0</v>
      </c>
      <c r="O221" t="n">
        <v>0</v>
      </c>
      <c r="P221" t="n">
        <v>0</v>
      </c>
      <c r="Q221" t="n">
        <v>0</v>
      </c>
      <c r="R221" t="n">
        <v>0</v>
      </c>
      <c r="S221" t="n">
        <v>0</v>
      </c>
      <c r="T221" t="n">
        <v>0</v>
      </c>
      <c r="U221" s="2" t="inlineStr"/>
    </row>
    <row r="222" ht="15" customHeight="1">
      <c r="A222" t="inlineStr">
        <is>
          <t>A 57632-2021</t>
        </is>
      </c>
      <c r="B222" t="inlineStr">
        <is>
          <t>avverkningsanmälan</t>
        </is>
      </c>
      <c r="C222" t="inlineStr">
        <is>
          <t>Föryngringsavverkning</t>
        </is>
      </c>
      <c r="D222" s="1" t="n">
        <v>44484</v>
      </c>
      <c r="E222" s="1" t="n">
        <v>46223</v>
      </c>
      <c r="F222" t="inlineStr">
        <is>
          <t>GÄVLEBORGS LÄN</t>
        </is>
      </c>
      <c r="G222" t="inlineStr">
        <is>
          <t>HOFORS</t>
        </is>
      </c>
      <c r="I222" t="n">
        <v>4.1</v>
      </c>
      <c r="J222" t="n">
        <v>0</v>
      </c>
      <c r="K222" t="n">
        <v>0</v>
      </c>
      <c r="L222" t="n">
        <v>0</v>
      </c>
      <c r="M222" t="n">
        <v>0</v>
      </c>
      <c r="N222" t="n">
        <v>0</v>
      </c>
      <c r="O222" t="n">
        <v>0</v>
      </c>
      <c r="P222" t="n">
        <v>0</v>
      </c>
      <c r="Q222" t="n">
        <v>0</v>
      </c>
      <c r="R222" t="n">
        <v>0</v>
      </c>
      <c r="S222" t="n">
        <v>0</v>
      </c>
      <c r="T222" t="n">
        <v>0</v>
      </c>
      <c r="U222" s="2" t="inlineStr"/>
    </row>
    <row r="223" ht="15" customHeight="1">
      <c r="A223" t="inlineStr">
        <is>
          <t>A 23833-2026</t>
        </is>
      </c>
      <c r="B223" t="inlineStr">
        <is>
          <t>avverkningsanmälan</t>
        </is>
      </c>
      <c r="C223" t="inlineStr">
        <is>
          <t>Föryngringsavverkning</t>
        </is>
      </c>
      <c r="D223" s="1" t="n">
        <v>46167</v>
      </c>
      <c r="E223" s="1" t="n">
        <v>46223</v>
      </c>
      <c r="F223" t="inlineStr">
        <is>
          <t>GÄVLEBORGS LÄN</t>
        </is>
      </c>
      <c r="G223" t="inlineStr">
        <is>
          <t>HOFORS</t>
        </is>
      </c>
      <c r="H223" t="inlineStr">
        <is>
          <t>Sveaskog</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47493-2024</t>
        </is>
      </c>
      <c r="B224" t="inlineStr">
        <is>
          <t>avverkningsanmälan</t>
        </is>
      </c>
      <c r="C224" t="inlineStr">
        <is>
          <t>Föryngringsavverkning</t>
        </is>
      </c>
      <c r="D224" s="1" t="n">
        <v>45587</v>
      </c>
      <c r="E224" s="1" t="n">
        <v>46223</v>
      </c>
      <c r="F224" t="inlineStr">
        <is>
          <t>GÄVLEBORGS LÄN</t>
        </is>
      </c>
      <c r="G224" t="inlineStr">
        <is>
          <t>HOFORS</t>
        </is>
      </c>
      <c r="H224" t="inlineStr">
        <is>
          <t>Sveaskog</t>
        </is>
      </c>
      <c r="I224" t="n">
        <v>3.9</v>
      </c>
      <c r="J224" t="n">
        <v>0</v>
      </c>
      <c r="K224" t="n">
        <v>0</v>
      </c>
      <c r="L224" t="n">
        <v>0</v>
      </c>
      <c r="M224" t="n">
        <v>0</v>
      </c>
      <c r="N224" t="n">
        <v>0</v>
      </c>
      <c r="O224" t="n">
        <v>0</v>
      </c>
      <c r="P224" t="n">
        <v>0</v>
      </c>
      <c r="Q224" t="n">
        <v>0</v>
      </c>
      <c r="R224" t="n">
        <v>0</v>
      </c>
      <c r="S224" t="n">
        <v>0</v>
      </c>
      <c r="T224" t="n">
        <v>0</v>
      </c>
      <c r="U224" s="2" t="inlineStr"/>
    </row>
    <row r="225" ht="15" customHeight="1">
      <c r="A225" t="inlineStr">
        <is>
          <t>A 34232-2023</t>
        </is>
      </c>
      <c r="B225" t="inlineStr">
        <is>
          <t>avverkningsanmälan</t>
        </is>
      </c>
      <c r="C225" t="inlineStr">
        <is>
          <t>Föryngringsavverkning</t>
        </is>
      </c>
      <c r="D225" s="1" t="n">
        <v>45127</v>
      </c>
      <c r="E225" s="1" t="n">
        <v>46223</v>
      </c>
      <c r="F225" t="inlineStr">
        <is>
          <t>GÄVLEBORGS LÄN</t>
        </is>
      </c>
      <c r="G225" t="inlineStr">
        <is>
          <t>HOFORS</t>
        </is>
      </c>
      <c r="H225" t="inlineStr">
        <is>
          <t>Bergvik skog väst AB</t>
        </is>
      </c>
      <c r="I225" t="n">
        <v>5.8</v>
      </c>
      <c r="J225" t="n">
        <v>0</v>
      </c>
      <c r="K225" t="n">
        <v>0</v>
      </c>
      <c r="L225" t="n">
        <v>0</v>
      </c>
      <c r="M225" t="n">
        <v>0</v>
      </c>
      <c r="N225" t="n">
        <v>0</v>
      </c>
      <c r="O225" t="n">
        <v>0</v>
      </c>
      <c r="P225" t="n">
        <v>0</v>
      </c>
      <c r="Q225" t="n">
        <v>0</v>
      </c>
      <c r="R225" t="n">
        <v>0</v>
      </c>
      <c r="S225" t="n">
        <v>0</v>
      </c>
      <c r="T225" t="n">
        <v>0</v>
      </c>
      <c r="U225" s="2" t="inlineStr"/>
    </row>
    <row r="226" ht="15" customHeight="1">
      <c r="A226" t="inlineStr">
        <is>
          <t>A 24342-2026</t>
        </is>
      </c>
      <c r="B226" t="inlineStr">
        <is>
          <t>avverkningsanmälan</t>
        </is>
      </c>
      <c r="C226" t="inlineStr">
        <is>
          <t>Avverkning för annat ändamål</t>
        </is>
      </c>
      <c r="D226" s="1" t="n">
        <v>46169</v>
      </c>
      <c r="E226" s="1" t="n">
        <v>46223</v>
      </c>
      <c r="F226" t="inlineStr">
        <is>
          <t>GÄVLEBORGS LÄN</t>
        </is>
      </c>
      <c r="G226" t="inlineStr">
        <is>
          <t>HOFORS</t>
        </is>
      </c>
      <c r="H226" t="inlineStr">
        <is>
          <t>Sveaskog</t>
        </is>
      </c>
      <c r="I226" t="n">
        <v>1.5</v>
      </c>
      <c r="J226" t="n">
        <v>0</v>
      </c>
      <c r="K226" t="n">
        <v>0</v>
      </c>
      <c r="L226" t="n">
        <v>0</v>
      </c>
      <c r="M226" t="n">
        <v>0</v>
      </c>
      <c r="N226" t="n">
        <v>0</v>
      </c>
      <c r="O226" t="n">
        <v>0</v>
      </c>
      <c r="P226" t="n">
        <v>0</v>
      </c>
      <c r="Q226" t="n">
        <v>0</v>
      </c>
      <c r="R226" t="n">
        <v>0</v>
      </c>
      <c r="S226" t="n">
        <v>0</v>
      </c>
      <c r="T226" t="n">
        <v>0</v>
      </c>
      <c r="U226" s="2" t="inlineStr"/>
    </row>
    <row r="227" ht="15" customHeight="1">
      <c r="A227" t="inlineStr">
        <is>
          <t>A 24258-2026</t>
        </is>
      </c>
      <c r="B227" t="inlineStr">
        <is>
          <t>avverkningsanmälan</t>
        </is>
      </c>
      <c r="C227" t="inlineStr">
        <is>
          <t>Föryngringsavverkning</t>
        </is>
      </c>
      <c r="D227" s="1" t="n">
        <v>46169</v>
      </c>
      <c r="E227" s="1" t="n">
        <v>46223</v>
      </c>
      <c r="F227" t="inlineStr">
        <is>
          <t>GÄVLEBORGS LÄN</t>
        </is>
      </c>
      <c r="G227" t="inlineStr">
        <is>
          <t>HOFORS</t>
        </is>
      </c>
      <c r="I227" t="n">
        <v>2.9</v>
      </c>
      <c r="J227" t="n">
        <v>0</v>
      </c>
      <c r="K227" t="n">
        <v>0</v>
      </c>
      <c r="L227" t="n">
        <v>0</v>
      </c>
      <c r="M227" t="n">
        <v>0</v>
      </c>
      <c r="N227" t="n">
        <v>0</v>
      </c>
      <c r="O227" t="n">
        <v>0</v>
      </c>
      <c r="P227" t="n">
        <v>0</v>
      </c>
      <c r="Q227" t="n">
        <v>0</v>
      </c>
      <c r="R227" t="n">
        <v>0</v>
      </c>
      <c r="S227" t="n">
        <v>0</v>
      </c>
      <c r="T227" t="n">
        <v>0</v>
      </c>
      <c r="U227" s="2" t="inlineStr"/>
    </row>
    <row r="228" ht="15" customHeight="1">
      <c r="A228" t="inlineStr">
        <is>
          <t>A 30638-2026</t>
        </is>
      </c>
      <c r="B228" t="inlineStr">
        <is>
          <t>avverkningsanmälan</t>
        </is>
      </c>
      <c r="C228" t="inlineStr">
        <is>
          <t>Föryngringsavverkning</t>
        </is>
      </c>
      <c r="D228" s="1" t="n">
        <v>46211</v>
      </c>
      <c r="E228" s="1" t="n">
        <v>46223</v>
      </c>
      <c r="F228" t="inlineStr">
        <is>
          <t>GÄVLEBORGS LÄN</t>
        </is>
      </c>
      <c r="G228" t="inlineStr">
        <is>
          <t>HOFORS</t>
        </is>
      </c>
      <c r="I228" t="n">
        <v>8</v>
      </c>
      <c r="J228" t="n">
        <v>0</v>
      </c>
      <c r="K228" t="n">
        <v>0</v>
      </c>
      <c r="L228" t="n">
        <v>0</v>
      </c>
      <c r="M228" t="n">
        <v>0</v>
      </c>
      <c r="N228" t="n">
        <v>0</v>
      </c>
      <c r="O228" t="n">
        <v>0</v>
      </c>
      <c r="P228" t="n">
        <v>0</v>
      </c>
      <c r="Q228" t="n">
        <v>0</v>
      </c>
      <c r="R228" t="n">
        <v>0</v>
      </c>
      <c r="S228" t="n">
        <v>0</v>
      </c>
      <c r="T228" t="n">
        <v>0</v>
      </c>
      <c r="U228" s="2" t="inlineStr"/>
    </row>
    <row r="229" ht="15" customHeight="1">
      <c r="A229" t="inlineStr">
        <is>
          <t>A 21027-2024</t>
        </is>
      </c>
      <c r="B229" t="inlineStr">
        <is>
          <t>avverkningsanmälan</t>
        </is>
      </c>
      <c r="C229" t="inlineStr">
        <is>
          <t>Föryngringsavverkning</t>
        </is>
      </c>
      <c r="D229" s="1" t="n">
        <v>45439</v>
      </c>
      <c r="E229" s="1" t="n">
        <v>46223</v>
      </c>
      <c r="F229" t="inlineStr">
        <is>
          <t>GÄVLEBORGS LÄN</t>
        </is>
      </c>
      <c r="G229" t="inlineStr">
        <is>
          <t>HOFORS</t>
        </is>
      </c>
      <c r="H229" t="inlineStr">
        <is>
          <t>Sveaskog</t>
        </is>
      </c>
      <c r="I229" t="n">
        <v>1.9</v>
      </c>
      <c r="J229" t="n">
        <v>0</v>
      </c>
      <c r="K229" t="n">
        <v>0</v>
      </c>
      <c r="L229" t="n">
        <v>0</v>
      </c>
      <c r="M229" t="n">
        <v>0</v>
      </c>
      <c r="N229" t="n">
        <v>0</v>
      </c>
      <c r="O229" t="n">
        <v>0</v>
      </c>
      <c r="P229" t="n">
        <v>0</v>
      </c>
      <c r="Q229" t="n">
        <v>0</v>
      </c>
      <c r="R229" t="n">
        <v>0</v>
      </c>
      <c r="S229" t="n">
        <v>0</v>
      </c>
      <c r="T229" t="n">
        <v>0</v>
      </c>
      <c r="U229" s="2" t="inlineStr"/>
    </row>
    <row r="230" ht="15" customHeight="1">
      <c r="A230" t="inlineStr">
        <is>
          <t>A 21028-2024</t>
        </is>
      </c>
      <c r="B230" t="inlineStr">
        <is>
          <t>avverkningsanmälan</t>
        </is>
      </c>
      <c r="C230" t="inlineStr">
        <is>
          <t>Föryngringsavverkning</t>
        </is>
      </c>
      <c r="D230" s="1" t="n">
        <v>45439</v>
      </c>
      <c r="E230" s="1" t="n">
        <v>46223</v>
      </c>
      <c r="F230" t="inlineStr">
        <is>
          <t>GÄVLEBORGS LÄN</t>
        </is>
      </c>
      <c r="G230" t="inlineStr">
        <is>
          <t>HOFORS</t>
        </is>
      </c>
      <c r="H230" t="inlineStr">
        <is>
          <t>Sveaskog</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2612-2025</t>
        </is>
      </c>
      <c r="B231" t="inlineStr">
        <is>
          <t>avverkningsanmälan</t>
        </is>
      </c>
      <c r="C231" t="inlineStr">
        <is>
          <t>Avverkning för annat ändamål</t>
        </is>
      </c>
      <c r="D231" s="1" t="n">
        <v>45674</v>
      </c>
      <c r="E231" s="1" t="n">
        <v>46223</v>
      </c>
      <c r="F231" t="inlineStr">
        <is>
          <t>GÄVLEBORGS LÄN</t>
        </is>
      </c>
      <c r="G231" t="inlineStr">
        <is>
          <t>HOFORS</t>
        </is>
      </c>
      <c r="I231" t="n">
        <v>3.8</v>
      </c>
      <c r="J231" t="n">
        <v>0</v>
      </c>
      <c r="K231" t="n">
        <v>0</v>
      </c>
      <c r="L231" t="n">
        <v>0</v>
      </c>
      <c r="M231" t="n">
        <v>0</v>
      </c>
      <c r="N231" t="n">
        <v>0</v>
      </c>
      <c r="O231" t="n">
        <v>0</v>
      </c>
      <c r="P231" t="n">
        <v>0</v>
      </c>
      <c r="Q231" t="n">
        <v>0</v>
      </c>
      <c r="R231" t="n">
        <v>0</v>
      </c>
      <c r="S231" t="n">
        <v>0</v>
      </c>
      <c r="T231" t="n">
        <v>0</v>
      </c>
      <c r="U231" s="2" t="inlineStr"/>
    </row>
    <row r="232" ht="15" customHeight="1">
      <c r="A232" t="inlineStr">
        <is>
          <t>A 32980-2023</t>
        </is>
      </c>
      <c r="B232" t="inlineStr">
        <is>
          <t>avverkningsanmälan</t>
        </is>
      </c>
      <c r="C232" t="inlineStr">
        <is>
          <t>Föryngringsavverkning</t>
        </is>
      </c>
      <c r="D232" s="1" t="n">
        <v>45125</v>
      </c>
      <c r="E232" s="1" t="n">
        <v>46223</v>
      </c>
      <c r="F232" t="inlineStr">
        <is>
          <t>GÄVLEBORGS LÄN</t>
        </is>
      </c>
      <c r="G232" t="inlineStr">
        <is>
          <t>HOFORS</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31087-2026</t>
        </is>
      </c>
      <c r="B233" t="inlineStr">
        <is>
          <t>avverkningsanmälan</t>
        </is>
      </c>
      <c r="C233" t="inlineStr">
        <is>
          <t>Föryngringsavverkning</t>
        </is>
      </c>
      <c r="D233" s="1" t="n">
        <v>46216</v>
      </c>
      <c r="E233" s="1" t="n">
        <v>46223</v>
      </c>
      <c r="F233" t="inlineStr">
        <is>
          <t>GÄVLEBORGS LÄN</t>
        </is>
      </c>
      <c r="G233" t="inlineStr">
        <is>
          <t>HOFORS</t>
        </is>
      </c>
      <c r="H233" t="inlineStr">
        <is>
          <t>Kommuner</t>
        </is>
      </c>
      <c r="I233" t="n">
        <v>1.5</v>
      </c>
      <c r="J233" t="n">
        <v>0</v>
      </c>
      <c r="K233" t="n">
        <v>0</v>
      </c>
      <c r="L233" t="n">
        <v>0</v>
      </c>
      <c r="M233" t="n">
        <v>0</v>
      </c>
      <c r="N233" t="n">
        <v>0</v>
      </c>
      <c r="O233" t="n">
        <v>0</v>
      </c>
      <c r="P233" t="n">
        <v>0</v>
      </c>
      <c r="Q233" t="n">
        <v>0</v>
      </c>
      <c r="R233" t="n">
        <v>0</v>
      </c>
      <c r="S233" t="n">
        <v>0</v>
      </c>
      <c r="T233" t="n">
        <v>0</v>
      </c>
      <c r="U233" s="2" t="inlineStr"/>
    </row>
    <row r="234" ht="15" customHeight="1">
      <c r="A234" t="inlineStr">
        <is>
          <t>A 31088-2026</t>
        </is>
      </c>
      <c r="B234" t="inlineStr">
        <is>
          <t>avverkningsanmälan</t>
        </is>
      </c>
      <c r="C234" t="inlineStr">
        <is>
          <t>Föryngringsavverkning</t>
        </is>
      </c>
      <c r="D234" s="1" t="n">
        <v>46216</v>
      </c>
      <c r="E234" s="1" t="n">
        <v>46223</v>
      </c>
      <c r="F234" t="inlineStr">
        <is>
          <t>GÄVLEBORGS LÄN</t>
        </is>
      </c>
      <c r="G234" t="inlineStr">
        <is>
          <t>HOFORS</t>
        </is>
      </c>
      <c r="H234" t="inlineStr">
        <is>
          <t>Kommuner</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31315-2026</t>
        </is>
      </c>
      <c r="B235" t="inlineStr">
        <is>
          <t>avverkningsanmälan</t>
        </is>
      </c>
      <c r="C235" t="inlineStr">
        <is>
          <t>Föryngringsavverkning</t>
        </is>
      </c>
      <c r="D235" s="1" t="n">
        <v>46219</v>
      </c>
      <c r="E235" s="1" t="n">
        <v>46223</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57751-2024</t>
        </is>
      </c>
      <c r="B236" t="inlineStr">
        <is>
          <t>avverkningsanmälan</t>
        </is>
      </c>
      <c r="C236" t="inlineStr">
        <is>
          <t>Föryngringsavverkning</t>
        </is>
      </c>
      <c r="D236" s="1" t="n">
        <v>45630</v>
      </c>
      <c r="E236" s="1" t="n">
        <v>46223</v>
      </c>
      <c r="F236" t="inlineStr">
        <is>
          <t>GÄVLEBORGS LÄN</t>
        </is>
      </c>
      <c r="G236" t="inlineStr">
        <is>
          <t>HOFORS</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35504-2024</t>
        </is>
      </c>
      <c r="B237" t="inlineStr">
        <is>
          <t>avverkningsanmälan</t>
        </is>
      </c>
      <c r="C237" t="inlineStr">
        <is>
          <t>Föryngringsavverkning</t>
        </is>
      </c>
      <c r="D237" s="1" t="n">
        <v>45531</v>
      </c>
      <c r="E237" s="1" t="n">
        <v>46223</v>
      </c>
      <c r="F237" t="inlineStr">
        <is>
          <t>GÄVLEBORGS LÄN</t>
        </is>
      </c>
      <c r="G237" t="inlineStr">
        <is>
          <t>HOFORS</t>
        </is>
      </c>
      <c r="H237" t="inlineStr">
        <is>
          <t>Sveaskog</t>
        </is>
      </c>
      <c r="I237" t="n">
        <v>1.8</v>
      </c>
      <c r="J237" t="n">
        <v>0</v>
      </c>
      <c r="K237" t="n">
        <v>0</v>
      </c>
      <c r="L237" t="n">
        <v>0</v>
      </c>
      <c r="M237" t="n">
        <v>0</v>
      </c>
      <c r="N237" t="n">
        <v>0</v>
      </c>
      <c r="O237" t="n">
        <v>0</v>
      </c>
      <c r="P237" t="n">
        <v>0</v>
      </c>
      <c r="Q237" t="n">
        <v>0</v>
      </c>
      <c r="R237" t="n">
        <v>0</v>
      </c>
      <c r="S237" t="n">
        <v>0</v>
      </c>
      <c r="T237" t="n">
        <v>0</v>
      </c>
      <c r="U237" s="2" t="inlineStr"/>
    </row>
    <row r="238" ht="15" customHeight="1">
      <c r="A238" t="inlineStr">
        <is>
          <t>A 2915-2025</t>
        </is>
      </c>
      <c r="B238" t="inlineStr">
        <is>
          <t>avverkningsanmälan</t>
        </is>
      </c>
      <c r="C238" t="inlineStr">
        <is>
          <t>Föryngringsavverkning</t>
        </is>
      </c>
      <c r="D238" s="1" t="n">
        <v>45677</v>
      </c>
      <c r="E238" s="1" t="n">
        <v>46223</v>
      </c>
      <c r="F238" t="inlineStr">
        <is>
          <t>GÄVLEBORGS LÄN</t>
        </is>
      </c>
      <c r="G238" t="inlineStr">
        <is>
          <t>HOFORS</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4032-2025</t>
        </is>
      </c>
      <c r="B239" t="inlineStr">
        <is>
          <t>avverkningsanmälan</t>
        </is>
      </c>
      <c r="C239" t="inlineStr">
        <is>
          <t>Avverkning för annat ändamål</t>
        </is>
      </c>
      <c r="D239" s="1" t="n">
        <v>45684</v>
      </c>
      <c r="E239" s="1" t="n">
        <v>46223</v>
      </c>
      <c r="F239" t="inlineStr">
        <is>
          <t>GÄVLEBORGS LÄN</t>
        </is>
      </c>
      <c r="G239" t="inlineStr">
        <is>
          <t>HOFORS</t>
        </is>
      </c>
      <c r="I239" t="n">
        <v>2.7</v>
      </c>
      <c r="J239" t="n">
        <v>0</v>
      </c>
      <c r="K239" t="n">
        <v>0</v>
      </c>
      <c r="L239" t="n">
        <v>0</v>
      </c>
      <c r="M239" t="n">
        <v>0</v>
      </c>
      <c r="N239" t="n">
        <v>0</v>
      </c>
      <c r="O239" t="n">
        <v>0</v>
      </c>
      <c r="P239" t="n">
        <v>0</v>
      </c>
      <c r="Q239" t="n">
        <v>0</v>
      </c>
      <c r="R239" t="n">
        <v>0</v>
      </c>
      <c r="S239" t="n">
        <v>0</v>
      </c>
      <c r="T239" t="n">
        <v>0</v>
      </c>
      <c r="U239" s="2" t="inlineStr"/>
    </row>
    <row r="240" ht="15" customHeight="1">
      <c r="A240" t="inlineStr">
        <is>
          <t>A 28391-2024</t>
        </is>
      </c>
      <c r="B240" t="inlineStr">
        <is>
          <t>avverkningsanmälan</t>
        </is>
      </c>
      <c r="C240" t="inlineStr">
        <is>
          <t>Föryngringsavverkning</t>
        </is>
      </c>
      <c r="D240" s="1" t="n">
        <v>45477</v>
      </c>
      <c r="E240" s="1" t="n">
        <v>46223</v>
      </c>
      <c r="F240" t="inlineStr">
        <is>
          <t>GÄVLEBORGS LÄN</t>
        </is>
      </c>
      <c r="G240" t="inlineStr">
        <is>
          <t>HOFORS</t>
        </is>
      </c>
      <c r="H240" t="inlineStr">
        <is>
          <t>Sveaskog</t>
        </is>
      </c>
      <c r="I240" t="n">
        <v>2.7</v>
      </c>
      <c r="J240" t="n">
        <v>0</v>
      </c>
      <c r="K240" t="n">
        <v>0</v>
      </c>
      <c r="L240" t="n">
        <v>0</v>
      </c>
      <c r="M240" t="n">
        <v>0</v>
      </c>
      <c r="N240" t="n">
        <v>0</v>
      </c>
      <c r="O240" t="n">
        <v>0</v>
      </c>
      <c r="P240" t="n">
        <v>0</v>
      </c>
      <c r="Q240" t="n">
        <v>0</v>
      </c>
      <c r="R240" t="n">
        <v>0</v>
      </c>
      <c r="S240" t="n">
        <v>0</v>
      </c>
      <c r="T240" t="n">
        <v>0</v>
      </c>
      <c r="U240" s="2" t="inlineStr"/>
    </row>
    <row r="241" ht="15" customHeight="1">
      <c r="A241" t="inlineStr">
        <is>
          <t>A 21340-2025</t>
        </is>
      </c>
      <c r="B241" t="inlineStr">
        <is>
          <t>avverkningsanmälan</t>
        </is>
      </c>
      <c r="C241" t="inlineStr">
        <is>
          <t>Föryngringsavverkning</t>
        </is>
      </c>
      <c r="D241" s="1" t="n">
        <v>45782</v>
      </c>
      <c r="E241" s="1" t="n">
        <v>46223</v>
      </c>
      <c r="F241" t="inlineStr">
        <is>
          <t>GÄVLEBORGS LÄN</t>
        </is>
      </c>
      <c r="G241" t="inlineStr">
        <is>
          <t>HOFORS</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1144-2024</t>
        </is>
      </c>
      <c r="B242" t="inlineStr">
        <is>
          <t>avverkningsanmälan</t>
        </is>
      </c>
      <c r="C242" t="inlineStr">
        <is>
          <t>Föryngringsavverkning</t>
        </is>
      </c>
      <c r="D242" s="1" t="n">
        <v>45302</v>
      </c>
      <c r="E242" s="1" t="n">
        <v>46223</v>
      </c>
      <c r="F242" t="inlineStr">
        <is>
          <t>GÄVLEBORGS LÄN</t>
        </is>
      </c>
      <c r="G242" t="inlineStr">
        <is>
          <t>HOFORS</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5554-2024</t>
        </is>
      </c>
      <c r="B243" t="inlineStr">
        <is>
          <t>avverkningsanmälan</t>
        </is>
      </c>
      <c r="C243" t="inlineStr">
        <is>
          <t>Föryngringsavverkning</t>
        </is>
      </c>
      <c r="D243" s="1" t="n">
        <v>45334</v>
      </c>
      <c r="E243" s="1" t="n">
        <v>46223</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23666-2025</t>
        </is>
      </c>
      <c r="B244" t="inlineStr">
        <is>
          <t>avverkningsanmälan</t>
        </is>
      </c>
      <c r="C244" t="inlineStr">
        <is>
          <t>Föryngringsavverkning</t>
        </is>
      </c>
      <c r="D244" s="1" t="n">
        <v>45792</v>
      </c>
      <c r="E244" s="1" t="n">
        <v>46223</v>
      </c>
      <c r="F244" t="inlineStr">
        <is>
          <t>GÄVLEBORGS LÄN</t>
        </is>
      </c>
      <c r="G244" t="inlineStr">
        <is>
          <t>HOFORS</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53517-2024</t>
        </is>
      </c>
      <c r="B245" t="inlineStr">
        <is>
          <t>avverkningsanmälan</t>
        </is>
      </c>
      <c r="C245" t="inlineStr">
        <is>
          <t>Föryngringsavverkning</t>
        </is>
      </c>
      <c r="D245" s="1" t="n">
        <v>45614</v>
      </c>
      <c r="E245" s="1" t="n">
        <v>46223</v>
      </c>
      <c r="F245" t="inlineStr">
        <is>
          <t>GÄVLEBORGS LÄN</t>
        </is>
      </c>
      <c r="G245" t="inlineStr">
        <is>
          <t>HOFORS</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33981-2024</t>
        </is>
      </c>
      <c r="B246" t="inlineStr">
        <is>
          <t>avverkningsanmälan</t>
        </is>
      </c>
      <c r="C246" t="inlineStr">
        <is>
          <t>Föryngringsavverkning</t>
        </is>
      </c>
      <c r="D246" s="1" t="n">
        <v>45523</v>
      </c>
      <c r="E246" s="1" t="n">
        <v>46223</v>
      </c>
      <c r="F246" t="inlineStr">
        <is>
          <t>GÄVLEBORGS LÄN</t>
        </is>
      </c>
      <c r="G246" t="inlineStr">
        <is>
          <t>HOFORS</t>
        </is>
      </c>
      <c r="I246" t="n">
        <v>2.3</v>
      </c>
      <c r="J246" t="n">
        <v>0</v>
      </c>
      <c r="K246" t="n">
        <v>0</v>
      </c>
      <c r="L246" t="n">
        <v>0</v>
      </c>
      <c r="M246" t="n">
        <v>0</v>
      </c>
      <c r="N246" t="n">
        <v>0</v>
      </c>
      <c r="O246" t="n">
        <v>0</v>
      </c>
      <c r="P246" t="n">
        <v>0</v>
      </c>
      <c r="Q246" t="n">
        <v>0</v>
      </c>
      <c r="R246" t="n">
        <v>0</v>
      </c>
      <c r="S246" t="n">
        <v>0</v>
      </c>
      <c r="T246" t="n">
        <v>0</v>
      </c>
      <c r="U246" s="2" t="inlineStr"/>
    </row>
    <row r="247" ht="15" customHeight="1">
      <c r="A247" t="inlineStr">
        <is>
          <t>S 430-2025</t>
        </is>
      </c>
      <c r="B247" t="inlineStr">
        <is>
          <t>samrådsanmälan</t>
        </is>
      </c>
      <c r="C247" t="inlineStr">
        <is>
          <t>Skogsgödsling</t>
        </is>
      </c>
      <c r="D247" s="1" t="n">
        <v>45700</v>
      </c>
      <c r="E247" s="1" t="n">
        <v>46223</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s="2" t="inlineStr"/>
    </row>
    <row r="248" ht="15" customHeight="1">
      <c r="A248" t="inlineStr">
        <is>
          <t>S 209-2024</t>
        </is>
      </c>
      <c r="B248" t="inlineStr">
        <is>
          <t>samrådsanmälan</t>
        </is>
      </c>
      <c r="C248" t="inlineStr">
        <is>
          <t>Skogsgödsling</t>
        </is>
      </c>
      <c r="D248" s="1" t="n">
        <v>45316</v>
      </c>
      <c r="E248" s="1" t="n">
        <v>46223</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s="2" t="inlineStr"/>
    </row>
    <row r="249" ht="15" customHeight="1">
      <c r="A249" t="inlineStr">
        <is>
          <t>S 239-2024</t>
        </is>
      </c>
      <c r="B249" t="inlineStr">
        <is>
          <t>samrådsanmälan</t>
        </is>
      </c>
      <c r="C249" t="inlineStr">
        <is>
          <t>Skogsgödsling</t>
        </is>
      </c>
      <c r="D249" s="1" t="n">
        <v>45319</v>
      </c>
      <c r="E249" s="1" t="n">
        <v>46223</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s="2" t="inlineStr"/>
    </row>
    <row r="250" ht="15" customHeight="1">
      <c r="A250" t="inlineStr">
        <is>
          <t>S 1334-2025</t>
        </is>
      </c>
      <c r="B250" t="inlineStr">
        <is>
          <t>samrådsanmälan</t>
        </is>
      </c>
      <c r="C250" t="inlineStr">
        <is>
          <t>Annan skogsbruksåtgärd</t>
        </is>
      </c>
      <c r="D250" s="1" t="n">
        <v>45771</v>
      </c>
      <c r="E250" s="1" t="n">
        <v>46223</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s="2" t="inlineStr"/>
    </row>
    <row r="251" ht="15" customHeight="1">
      <c r="A251" t="inlineStr">
        <is>
          <t>S 532-2025</t>
        </is>
      </c>
      <c r="B251" t="inlineStr">
        <is>
          <t>samrådsanmälan</t>
        </is>
      </c>
      <c r="C251" t="inlineStr">
        <is>
          <t>Askåterföring</t>
        </is>
      </c>
      <c r="D251" s="1" t="n">
        <v>45707</v>
      </c>
      <c r="E251" s="1" t="n">
        <v>46223</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s="2" t="inlineStr"/>
    </row>
    <row r="252" ht="15" customHeight="1">
      <c r="A252" t="inlineStr">
        <is>
          <t>S 2403-2025</t>
        </is>
      </c>
      <c r="B252" t="inlineStr">
        <is>
          <t>samrådsanmälan</t>
        </is>
      </c>
      <c r="C252" t="inlineStr">
        <is>
          <t>Annan skogsbruksåtgärd</t>
        </is>
      </c>
      <c r="D252" s="1" t="n">
        <v>45895</v>
      </c>
      <c r="E252" s="1" t="n">
        <v>46223</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s="2" t="inlineStr"/>
    </row>
    <row r="253" ht="15" customHeight="1">
      <c r="A253" t="inlineStr">
        <is>
          <t>S 428-2026</t>
        </is>
      </c>
      <c r="B253" t="inlineStr">
        <is>
          <t>samrådsanmälan</t>
        </is>
      </c>
      <c r="C253" t="inlineStr">
        <is>
          <t>Skogsgödsling</t>
        </is>
      </c>
      <c r="D253" s="1" t="n">
        <v>46069</v>
      </c>
      <c r="E253" s="1" t="n">
        <v>46223</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s="2" t="inlineStr"/>
    </row>
    <row r="254">
      <c r="A254" t="inlineStr">
        <is>
          <t>S 647-2026</t>
        </is>
      </c>
      <c r="B254" t="inlineStr">
        <is>
          <t>samrådsanmälan</t>
        </is>
      </c>
      <c r="C254" t="inlineStr">
        <is>
          <t>Skogsgödsling</t>
        </is>
      </c>
      <c r="D254" s="1" t="n">
        <v>46089</v>
      </c>
      <c r="E254" s="1" t="n">
        <v>46223</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2026-07-20T01:45:11Z</dcterms:created>
  <dcterms:modified xmlns:dcterms="http://purl.org/dc/terms/" xmlns:xsi="http://www.w3.org/2001/XMLSchema-instance" xsi:type="dcterms:W3CDTF">2026-07-20T01:45:11Z</dcterms:modified>
</cp:coreProperties>
</file>