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46174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46174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46174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46174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46174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46174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46174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46174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46174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46174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46174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46174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35742-2025</t>
        </is>
      </c>
      <c r="B16" s="1" t="n">
        <v>45860.53805555555</v>
      </c>
      <c r="C16" s="1" t="n">
        <v>46174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Mörk husmossa</t>
        </is>
      </c>
      <c r="S16">
        <f>HYPERLINK("https://klasma.github.io/Logging_2104/artfynd/A 35742-2025 artfynd.xlsx", "A 35742-2025")</f>
        <v/>
      </c>
      <c r="T16">
        <f>HYPERLINK("https://klasma.github.io/Logging_2104/kartor/A 35742-2025 karta.png", "A 35742-2025")</f>
        <v/>
      </c>
      <c r="U16">
        <f>HYPERLINK("https://klasma.github.io/Logging_2104/knärot/A 35742-2025 karta knärot.png", "A 35742-2025")</f>
        <v/>
      </c>
      <c r="V16">
        <f>HYPERLINK("https://klasma.github.io/Logging_2104/klagomål/A 35742-2025 FSC-klagomål.docx", "A 35742-2025")</f>
        <v/>
      </c>
      <c r="W16">
        <f>HYPERLINK("https://klasma.github.io/Logging_2104/klagomålsmail/A 35742-2025 FSC-klagomål mail.docx", "A 35742-2025")</f>
        <v/>
      </c>
      <c r="X16">
        <f>HYPERLINK("https://klasma.github.io/Logging_2104/tillsyn/A 35742-2025 tillsynsbegäran.docx", "A 35742-2025")</f>
        <v/>
      </c>
      <c r="Y16">
        <f>HYPERLINK("https://klasma.github.io/Logging_2104/tillsynsmail/A 35742-2025 tillsynsbegäran mail.docx", "A 35742-2025")</f>
        <v/>
      </c>
    </row>
    <row r="17" ht="15" customHeight="1">
      <c r="A17" t="inlineStr">
        <is>
          <t>A 11868-2026</t>
        </is>
      </c>
      <c r="B17" s="1" t="n">
        <v>46085.4871412037</v>
      </c>
      <c r="C17" s="1" t="n">
        <v>46174</v>
      </c>
      <c r="D17" t="inlineStr">
        <is>
          <t>GÄVLEBORGS LÄN</t>
        </is>
      </c>
      <c r="E17" t="inlineStr">
        <is>
          <t>HOFORS</t>
        </is>
      </c>
      <c r="G17" t="n">
        <v>1.1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Zontaggsvamp</t>
        </is>
      </c>
      <c r="S17">
        <f>HYPERLINK("https://klasma.github.io/Logging_2104/artfynd/A 11868-2026 artfynd.xlsx", "A 11868-2026")</f>
        <v/>
      </c>
      <c r="T17">
        <f>HYPERLINK("https://klasma.github.io/Logging_2104/kartor/A 11868-2026 karta.png", "A 11868-2026")</f>
        <v/>
      </c>
      <c r="V17">
        <f>HYPERLINK("https://klasma.github.io/Logging_2104/klagomål/A 11868-2026 FSC-klagomål.docx", "A 11868-2026")</f>
        <v/>
      </c>
      <c r="W17">
        <f>HYPERLINK("https://klasma.github.io/Logging_2104/klagomålsmail/A 11868-2026 FSC-klagomål mail.docx", "A 11868-2026")</f>
        <v/>
      </c>
      <c r="X17">
        <f>HYPERLINK("https://klasma.github.io/Logging_2104/tillsyn/A 11868-2026 tillsynsbegäran.docx", "A 11868-2026")</f>
        <v/>
      </c>
      <c r="Y17">
        <f>HYPERLINK("https://klasma.github.io/Logging_2104/tillsynsmail/A 11868-2026 tillsynsbegäran mail.docx", "A 11868-2026")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46174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46174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46174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46174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46174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28397-2024</t>
        </is>
      </c>
      <c r="B23" s="1" t="n">
        <v>45477.60549768519</v>
      </c>
      <c r="C23" s="1" t="n">
        <v>46174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28397-2024 artfynd.xlsx", "A 28397-2024")</f>
        <v/>
      </c>
      <c r="T23">
        <f>HYPERLINK("https://klasma.github.io/Logging_2104/kartor/A 28397-2024 karta.png", "A 28397-2024")</f>
        <v/>
      </c>
      <c r="V23">
        <f>HYPERLINK("https://klasma.github.io/Logging_2104/klagomål/A 28397-2024 FSC-klagomål.docx", "A 28397-2024")</f>
        <v/>
      </c>
      <c r="W23">
        <f>HYPERLINK("https://klasma.github.io/Logging_2104/klagomålsmail/A 28397-2024 FSC-klagomål mail.docx", "A 28397-2024")</f>
        <v/>
      </c>
      <c r="X23">
        <f>HYPERLINK("https://klasma.github.io/Logging_2104/tillsyn/A 28397-2024 tillsynsbegäran.docx", "A 28397-2024")</f>
        <v/>
      </c>
      <c r="Y23">
        <f>HYPERLINK("https://klasma.github.io/Logging_2104/tillsynsmail/A 28397-2024 tillsynsbegäran mail.docx", "A 28397-2024")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46174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46174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46174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47219-2024</t>
        </is>
      </c>
      <c r="B27" s="1" t="n">
        <v>45586</v>
      </c>
      <c r="C27" s="1" t="n">
        <v>46174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47219-2024 artfynd.xlsx", "A 47219-2024")</f>
        <v/>
      </c>
      <c r="T27">
        <f>HYPERLINK("https://klasma.github.io/Logging_2104/kartor/A 47219-2024 karta.png", "A 47219-2024")</f>
        <v/>
      </c>
      <c r="V27">
        <f>HYPERLINK("https://klasma.github.io/Logging_2104/klagomål/A 47219-2024 FSC-klagomål.docx", "A 47219-2024")</f>
        <v/>
      </c>
      <c r="W27">
        <f>HYPERLINK("https://klasma.github.io/Logging_2104/klagomålsmail/A 47219-2024 FSC-klagomål mail.docx", "A 47219-2024")</f>
        <v/>
      </c>
      <c r="X27">
        <f>HYPERLINK("https://klasma.github.io/Logging_2104/tillsyn/A 47219-2024 tillsynsbegäran.docx", "A 47219-2024")</f>
        <v/>
      </c>
      <c r="Y27">
        <f>HYPERLINK("https://klasma.github.io/Logging_2104/tillsynsmail/A 47219-2024 tillsynsbegäran mail.docx", "A 47219-2024")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46174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46174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46174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46174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46174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46174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43883-2025</t>
        </is>
      </c>
      <c r="B34" s="1" t="n">
        <v>45912.68892361111</v>
      </c>
      <c r="C34" s="1" t="n">
        <v>46174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HYPERLINK("https://klasma.github.io/Logging_2104/artfynd/A 43883-2025 artfynd.xlsx", "A 43883-2025")</f>
        <v/>
      </c>
      <c r="T34">
        <f>HYPERLINK("https://klasma.github.io/Logging_2104/kartor/A 43883-2025 karta.png", "A 43883-2025")</f>
        <v/>
      </c>
      <c r="V34">
        <f>HYPERLINK("https://klasma.github.io/Logging_2104/klagomål/A 43883-2025 FSC-klagomål.docx", "A 43883-2025")</f>
        <v/>
      </c>
      <c r="W34">
        <f>HYPERLINK("https://klasma.github.io/Logging_2104/klagomålsmail/A 43883-2025 FSC-klagomål mail.docx", "A 43883-2025")</f>
        <v/>
      </c>
      <c r="X34">
        <f>HYPERLINK("https://klasma.github.io/Logging_2104/tillsyn/A 43883-2025 tillsynsbegäran.docx", "A 43883-2025")</f>
        <v/>
      </c>
      <c r="Y34">
        <f>HYPERLINK("https://klasma.github.io/Logging_2104/tillsynsmail/A 43883-2025 tillsynsbegäran mail.docx", "A 43883-2025")</f>
        <v/>
      </c>
      <c r="Z34">
        <f>HYPERLINK("https://klasma.github.io/Logging_2104/fåglar/A 43883-2025 prioriterade fågelarter.docx", "A 43883-2025")</f>
        <v/>
      </c>
    </row>
    <row r="35" ht="15" customHeight="1">
      <c r="A35" t="inlineStr">
        <is>
          <t>A 21029-2024</t>
        </is>
      </c>
      <c r="B35" s="1" t="n">
        <v>45439.6528125</v>
      </c>
      <c r="C35" s="1" t="n">
        <v>46174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HYPERLINK("https://klasma.github.io/Logging_2104/artfynd/A 21029-2024 artfynd.xlsx", "A 21029-2024")</f>
        <v/>
      </c>
      <c r="T35">
        <f>HYPERLINK("https://klasma.github.io/Logging_2104/kartor/A 21029-2024 karta.png", "A 21029-2024")</f>
        <v/>
      </c>
      <c r="U35">
        <f>HYPERLINK("https://klasma.github.io/Logging_2104/knärot/A 21029-2024 karta knärot.png", "A 21029-2024")</f>
        <v/>
      </c>
      <c r="V35">
        <f>HYPERLINK("https://klasma.github.io/Logging_2104/klagomål/A 21029-2024 FSC-klagomål.docx", "A 21029-2024")</f>
        <v/>
      </c>
      <c r="W35">
        <f>HYPERLINK("https://klasma.github.io/Logging_2104/klagomålsmail/A 21029-2024 FSC-klagomål mail.docx", "A 21029-2024")</f>
        <v/>
      </c>
      <c r="X35">
        <f>HYPERLINK("https://klasma.github.io/Logging_2104/tillsyn/A 21029-2024 tillsynsbegäran.docx", "A 21029-2024")</f>
        <v/>
      </c>
      <c r="Y35">
        <f>HYPERLINK("https://klasma.github.io/Logging_2104/tillsynsmail/A 21029-2024 tillsynsbegäran mail.docx", "A 21029-2024")</f>
        <v/>
      </c>
    </row>
    <row r="36" ht="15" customHeight="1">
      <c r="A36" t="inlineStr">
        <is>
          <t>A 27434-2025</t>
        </is>
      </c>
      <c r="B36" s="1" t="n">
        <v>45813</v>
      </c>
      <c r="C36" s="1" t="n">
        <v>46174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27434-2025 artfynd.xlsx", "A 27434-2025")</f>
        <v/>
      </c>
      <c r="T36">
        <f>HYPERLINK("https://klasma.github.io/Logging_2104/kartor/A 27434-2025 karta.png", "A 27434-2025")</f>
        <v/>
      </c>
      <c r="V36">
        <f>HYPERLINK("https://klasma.github.io/Logging_2104/klagomål/A 27434-2025 FSC-klagomål.docx", "A 27434-2025")</f>
        <v/>
      </c>
      <c r="W36">
        <f>HYPERLINK("https://klasma.github.io/Logging_2104/klagomålsmail/A 27434-2025 FSC-klagomål mail.docx", "A 27434-2025")</f>
        <v/>
      </c>
      <c r="X36">
        <f>HYPERLINK("https://klasma.github.io/Logging_2104/tillsyn/A 27434-2025 tillsynsbegäran.docx", "A 27434-2025")</f>
        <v/>
      </c>
      <c r="Y36">
        <f>HYPERLINK("https://klasma.github.io/Logging_2104/tillsynsmail/A 27434-2025 tillsynsbegäran mail.docx", "A 27434-2025")</f>
        <v/>
      </c>
    </row>
    <row r="37" ht="15" customHeight="1">
      <c r="A37" t="inlineStr">
        <is>
          <t>A 186-2026</t>
        </is>
      </c>
      <c r="B37" s="1" t="n">
        <v>46025.54315972222</v>
      </c>
      <c r="C37" s="1" t="n">
        <v>46174</v>
      </c>
      <c r="D37" t="inlineStr">
        <is>
          <t>GÄVLEBORGS LÄN</t>
        </is>
      </c>
      <c r="E37" t="inlineStr">
        <is>
          <t>HOFORS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186-2026 artfynd.xlsx", "A 186-2026")</f>
        <v/>
      </c>
      <c r="T37">
        <f>HYPERLINK("https://klasma.github.io/Logging_2104/kartor/A 186-2026 karta.png", "A 186-2026")</f>
        <v/>
      </c>
      <c r="U37">
        <f>HYPERLINK("https://klasma.github.io/Logging_2104/knärot/A 186-2026 karta knärot.png", "A 186-2026")</f>
        <v/>
      </c>
      <c r="V37">
        <f>HYPERLINK("https://klasma.github.io/Logging_2104/klagomål/A 186-2026 FSC-klagomål.docx", "A 186-2026")</f>
        <v/>
      </c>
      <c r="W37">
        <f>HYPERLINK("https://klasma.github.io/Logging_2104/klagomålsmail/A 186-2026 FSC-klagomål mail.docx", "A 186-2026")</f>
        <v/>
      </c>
      <c r="X37">
        <f>HYPERLINK("https://klasma.github.io/Logging_2104/tillsyn/A 186-2026 tillsynsbegäran.docx", "A 186-2026")</f>
        <v/>
      </c>
      <c r="Y37">
        <f>HYPERLINK("https://klasma.github.io/Logging_2104/tillsynsmail/A 186-2026 tillsynsbegäran mail.docx", "A 186-2026")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46174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46174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7543-2024</t>
        </is>
      </c>
      <c r="B40" s="1" t="n">
        <v>45348</v>
      </c>
      <c r="C40" s="1" t="n">
        <v>46174</v>
      </c>
      <c r="D40" t="inlineStr">
        <is>
          <t>GÄVLEBORGS LÄN</t>
        </is>
      </c>
      <c r="E40" t="inlineStr">
        <is>
          <t>HOFORS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HYPERLINK("https://klasma.github.io/Logging_2104/artfynd/A 7543-2024 artfynd.xlsx", "A 7543-2024")</f>
        <v/>
      </c>
      <c r="T40">
        <f>HYPERLINK("https://klasma.github.io/Logging_2104/kartor/A 7543-2024 karta.png", "A 7543-2024")</f>
        <v/>
      </c>
      <c r="V40">
        <f>HYPERLINK("https://klasma.github.io/Logging_2104/klagomål/A 7543-2024 FSC-klagomål.docx", "A 7543-2024")</f>
        <v/>
      </c>
      <c r="W40">
        <f>HYPERLINK("https://klasma.github.io/Logging_2104/klagomålsmail/A 7543-2024 FSC-klagomål mail.docx", "A 7543-2024")</f>
        <v/>
      </c>
      <c r="X40">
        <f>HYPERLINK("https://klasma.github.io/Logging_2104/tillsyn/A 7543-2024 tillsynsbegäran.docx", "A 7543-2024")</f>
        <v/>
      </c>
      <c r="Y40">
        <f>HYPERLINK("https://klasma.github.io/Logging_2104/tillsynsmail/A 7543-2024 tillsynsbegäran mail.docx", "A 7543-2024")</f>
        <v/>
      </c>
    </row>
    <row r="41" ht="15" customHeight="1">
      <c r="A41" t="inlineStr">
        <is>
          <t>A 35743-2025</t>
        </is>
      </c>
      <c r="B41" s="1" t="n">
        <v>45860.54238425926</v>
      </c>
      <c r="C41" s="1" t="n">
        <v>46174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HYPERLINK("https://klasma.github.io/Logging_2104/artfynd/A 35743-2025 artfynd.xlsx", "A 35743-2025")</f>
        <v/>
      </c>
      <c r="T41">
        <f>HYPERLINK("https://klasma.github.io/Logging_2104/kartor/A 35743-2025 karta.png", "A 35743-2025")</f>
        <v/>
      </c>
      <c r="V41">
        <f>HYPERLINK("https://klasma.github.io/Logging_2104/klagomål/A 35743-2025 FSC-klagomål.docx", "A 35743-2025")</f>
        <v/>
      </c>
      <c r="W41">
        <f>HYPERLINK("https://klasma.github.io/Logging_2104/klagomålsmail/A 35743-2025 FSC-klagomål mail.docx", "A 35743-2025")</f>
        <v/>
      </c>
      <c r="X41">
        <f>HYPERLINK("https://klasma.github.io/Logging_2104/tillsyn/A 35743-2025 tillsynsbegäran.docx", "A 35743-2025")</f>
        <v/>
      </c>
      <c r="Y41">
        <f>HYPERLINK("https://klasma.github.io/Logging_2104/tillsynsmail/A 35743-2025 tillsynsbegäran mail.docx", "A 35743-2025")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46174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46058-2025</t>
        </is>
      </c>
      <c r="B43" s="1" t="n">
        <v>45924</v>
      </c>
      <c r="C43" s="1" t="n">
        <v>46174</v>
      </c>
      <c r="D43" t="inlineStr">
        <is>
          <t>GÄVLEBORGS LÄN</t>
        </is>
      </c>
      <c r="E43" t="inlineStr">
        <is>
          <t>HOFORS</t>
        </is>
      </c>
      <c r="F43" t="inlineStr">
        <is>
          <t>Övriga statliga verk och myndigheter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HYPERLINK("https://klasma.github.io/Logging_2104/artfynd/A 46058-2025 artfynd.xlsx", "A 46058-2025")</f>
        <v/>
      </c>
      <c r="T43">
        <f>HYPERLINK("https://klasma.github.io/Logging_2104/kartor/A 46058-2025 karta.png", "A 46058-2025")</f>
        <v/>
      </c>
      <c r="V43">
        <f>HYPERLINK("https://klasma.github.io/Logging_2104/klagomål/A 46058-2025 FSC-klagomål.docx", "A 46058-2025")</f>
        <v/>
      </c>
      <c r="W43">
        <f>HYPERLINK("https://klasma.github.io/Logging_2104/klagomålsmail/A 46058-2025 FSC-klagomål mail.docx", "A 46058-2025")</f>
        <v/>
      </c>
      <c r="X43">
        <f>HYPERLINK("https://klasma.github.io/Logging_2104/tillsyn/A 46058-2025 tillsynsbegäran.docx", "A 46058-2025")</f>
        <v/>
      </c>
      <c r="Y43">
        <f>HYPERLINK("https://klasma.github.io/Logging_2104/tillsynsmail/A 46058-2025 tillsynsbegäran mail.docx", "A 46058-2025")</f>
        <v/>
      </c>
    </row>
    <row r="44" ht="15" customHeight="1">
      <c r="A44" t="inlineStr">
        <is>
          <t>A 11853-2026</t>
        </is>
      </c>
      <c r="B44" s="1" t="n">
        <v>46085.4643287037</v>
      </c>
      <c r="C44" s="1" t="n">
        <v>46174</v>
      </c>
      <c r="D44" t="inlineStr">
        <is>
          <t>GÄVLEBORGS LÄN</t>
        </is>
      </c>
      <c r="E44" t="inlineStr">
        <is>
          <t>HOFORS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11853-2026 artfynd.xlsx", "A 11853-2026")</f>
        <v/>
      </c>
      <c r="T44">
        <f>HYPERLINK("https://klasma.github.io/Logging_2104/kartor/A 11853-2026 karta.png", "A 11853-2026")</f>
        <v/>
      </c>
      <c r="V44">
        <f>HYPERLINK("https://klasma.github.io/Logging_2104/klagomål/A 11853-2026 FSC-klagomål.docx", "A 11853-2026")</f>
        <v/>
      </c>
      <c r="W44">
        <f>HYPERLINK("https://klasma.github.io/Logging_2104/klagomålsmail/A 11853-2026 FSC-klagomål mail.docx", "A 11853-2026")</f>
        <v/>
      </c>
      <c r="X44">
        <f>HYPERLINK("https://klasma.github.io/Logging_2104/tillsyn/A 11853-2026 tillsynsbegäran.docx", "A 11853-2026")</f>
        <v/>
      </c>
      <c r="Y44">
        <f>HYPERLINK("https://klasma.github.io/Logging_2104/tillsynsmail/A 11853-2026 tillsynsbegäran mail.docx", "A 11853-2026")</f>
        <v/>
      </c>
    </row>
    <row r="45" ht="15" customHeight="1">
      <c r="A45" t="inlineStr">
        <is>
          <t>A 11867-2026</t>
        </is>
      </c>
      <c r="B45" s="1" t="n">
        <v>46085.4849537037</v>
      </c>
      <c r="C45" s="1" t="n">
        <v>46174</v>
      </c>
      <c r="D45" t="inlineStr">
        <is>
          <t>GÄVLEBORGS LÄN</t>
        </is>
      </c>
      <c r="E45" t="inlineStr">
        <is>
          <t>HOFORS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HYPERLINK("https://klasma.github.io/Logging_2104/artfynd/A 11867-2026 artfynd.xlsx", "A 11867-2026")</f>
        <v/>
      </c>
      <c r="T45">
        <f>HYPERLINK("https://klasma.github.io/Logging_2104/kartor/A 11867-2026 karta.png", "A 11867-2026")</f>
        <v/>
      </c>
      <c r="V45">
        <f>HYPERLINK("https://klasma.github.io/Logging_2104/klagomål/A 11867-2026 FSC-klagomål.docx", "A 11867-2026")</f>
        <v/>
      </c>
      <c r="W45">
        <f>HYPERLINK("https://klasma.github.io/Logging_2104/klagomålsmail/A 11867-2026 FSC-klagomål mail.docx", "A 11867-2026")</f>
        <v/>
      </c>
      <c r="X45">
        <f>HYPERLINK("https://klasma.github.io/Logging_2104/tillsyn/A 11867-2026 tillsynsbegäran.docx", "A 11867-2026")</f>
        <v/>
      </c>
      <c r="Y45">
        <f>HYPERLINK("https://klasma.github.io/Logging_2104/tillsynsmail/A 11867-2026 tillsynsbegäran mail.docx", "A 11867-2026")</f>
        <v/>
      </c>
    </row>
    <row r="46" ht="15" customHeight="1">
      <c r="A46" t="inlineStr">
        <is>
          <t>A 36606-2025</t>
        </is>
      </c>
      <c r="B46" s="1" t="n">
        <v>45870.54482638889</v>
      </c>
      <c r="C46" s="1" t="n">
        <v>46174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HYPERLINK("https://klasma.github.io/Logging_2104/artfynd/A 36606-2025 artfynd.xlsx", "A 36606-2025")</f>
        <v/>
      </c>
      <c r="T46">
        <f>HYPERLINK("https://klasma.github.io/Logging_2104/kartor/A 36606-2025 karta.png", "A 36606-2025")</f>
        <v/>
      </c>
      <c r="V46">
        <f>HYPERLINK("https://klasma.github.io/Logging_2104/klagomål/A 36606-2025 FSC-klagomål.docx", "A 36606-2025")</f>
        <v/>
      </c>
      <c r="W46">
        <f>HYPERLINK("https://klasma.github.io/Logging_2104/klagomålsmail/A 36606-2025 FSC-klagomål mail.docx", "A 36606-2025")</f>
        <v/>
      </c>
      <c r="X46">
        <f>HYPERLINK("https://klasma.github.io/Logging_2104/tillsyn/A 36606-2025 tillsynsbegäran.docx", "A 36606-2025")</f>
        <v/>
      </c>
      <c r="Y46">
        <f>HYPERLINK("https://klasma.github.io/Logging_2104/tillsynsmail/A 36606-2025 tillsynsbegäran mail.docx", "A 36606-2025")</f>
        <v/>
      </c>
    </row>
    <row r="47" ht="15" customHeight="1">
      <c r="A47" t="inlineStr">
        <is>
          <t>A 37012-2025</t>
        </is>
      </c>
      <c r="B47" s="1" t="n">
        <v>45874.7066550926</v>
      </c>
      <c r="C47" s="1" t="n">
        <v>46174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37012-2025 artfynd.xlsx", "A 37012-2025")</f>
        <v/>
      </c>
      <c r="T47">
        <f>HYPERLINK("https://klasma.github.io/Logging_2104/kartor/A 37012-2025 karta.png", "A 37012-2025")</f>
        <v/>
      </c>
      <c r="V47">
        <f>HYPERLINK("https://klasma.github.io/Logging_2104/klagomål/A 37012-2025 FSC-klagomål.docx", "A 37012-2025")</f>
        <v/>
      </c>
      <c r="W47">
        <f>HYPERLINK("https://klasma.github.io/Logging_2104/klagomålsmail/A 37012-2025 FSC-klagomål mail.docx", "A 37012-2025")</f>
        <v/>
      </c>
      <c r="X47">
        <f>HYPERLINK("https://klasma.github.io/Logging_2104/tillsyn/A 37012-2025 tillsynsbegäran.docx", "A 37012-2025")</f>
        <v/>
      </c>
      <c r="Y47">
        <f>HYPERLINK("https://klasma.github.io/Logging_2104/tillsynsmail/A 37012-2025 tillsynsbegäran mail.docx", "A 37012-2025")</f>
        <v/>
      </c>
    </row>
    <row r="48" ht="15" customHeight="1">
      <c r="A48" t="inlineStr">
        <is>
          <t>A 37011-2025</t>
        </is>
      </c>
      <c r="B48" s="1" t="n">
        <v>45874.70511574074</v>
      </c>
      <c r="C48" s="1" t="n">
        <v>46174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37011-2025 artfynd.xlsx", "A 37011-2025")</f>
        <v/>
      </c>
      <c r="T48">
        <f>HYPERLINK("https://klasma.github.io/Logging_2104/kartor/A 37011-2025 karta.png", "A 37011-2025")</f>
        <v/>
      </c>
      <c r="U48">
        <f>HYPERLINK("https://klasma.github.io/Logging_2104/knärot/A 37011-2025 karta knärot.png", "A 37011-2025")</f>
        <v/>
      </c>
      <c r="V48">
        <f>HYPERLINK("https://klasma.github.io/Logging_2104/klagomål/A 37011-2025 FSC-klagomål.docx", "A 37011-2025")</f>
        <v/>
      </c>
      <c r="W48">
        <f>HYPERLINK("https://klasma.github.io/Logging_2104/klagomålsmail/A 37011-2025 FSC-klagomål mail.docx", "A 37011-2025")</f>
        <v/>
      </c>
      <c r="X48">
        <f>HYPERLINK("https://klasma.github.io/Logging_2104/tillsyn/A 37011-2025 tillsynsbegäran.docx", "A 37011-2025")</f>
        <v/>
      </c>
      <c r="Y48">
        <f>HYPERLINK("https://klasma.github.io/Logging_2104/tillsynsmail/A 37011-2025 tillsynsbegäran mail.docx", "A 37011-2025")</f>
        <v/>
      </c>
    </row>
    <row r="49" ht="15" customHeight="1">
      <c r="A49" t="inlineStr">
        <is>
          <t>A 12780-2026</t>
        </is>
      </c>
      <c r="B49" s="1" t="n">
        <v>46091</v>
      </c>
      <c r="C49" s="1" t="n">
        <v>46174</v>
      </c>
      <c r="D49" t="inlineStr">
        <is>
          <t>GÄVLEBORGS LÄN</t>
        </is>
      </c>
      <c r="E49" t="inlineStr">
        <is>
          <t>HOFORS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HYPERLINK("https://klasma.github.io/Logging_2104/artfynd/A 12780-2026 artfynd.xlsx", "A 12780-2026")</f>
        <v/>
      </c>
      <c r="T49">
        <f>HYPERLINK("https://klasma.github.io/Logging_2104/kartor/A 12780-2026 karta.png", "A 12780-2026")</f>
        <v/>
      </c>
      <c r="V49">
        <f>HYPERLINK("https://klasma.github.io/Logging_2104/klagomål/A 12780-2026 FSC-klagomål.docx", "A 12780-2026")</f>
        <v/>
      </c>
      <c r="W49">
        <f>HYPERLINK("https://klasma.github.io/Logging_2104/klagomålsmail/A 12780-2026 FSC-klagomål mail.docx", "A 12780-2026")</f>
        <v/>
      </c>
      <c r="X49">
        <f>HYPERLINK("https://klasma.github.io/Logging_2104/tillsyn/A 12780-2026 tillsynsbegäran.docx", "A 12780-2026")</f>
        <v/>
      </c>
      <c r="Y49">
        <f>HYPERLINK("https://klasma.github.io/Logging_2104/tillsynsmail/A 12780-2026 tillsynsbegäran mail.docx", "A 12780-2026")</f>
        <v/>
      </c>
      <c r="Z49">
        <f>HYPERLINK("https://klasma.github.io/Logging_2104/fåglar/A 12780-2026 prioriterade fågelarter.docx", "A 12780-2026")</f>
        <v/>
      </c>
    </row>
    <row r="50" ht="15" customHeight="1">
      <c r="A50" t="inlineStr">
        <is>
          <t>A 48702-2025</t>
        </is>
      </c>
      <c r="B50" s="1" t="n">
        <v>45936.62197916667</v>
      </c>
      <c r="C50" s="1" t="n">
        <v>46174</v>
      </c>
      <c r="D50" t="inlineStr">
        <is>
          <t>GÄVLEBORGS LÄN</t>
        </is>
      </c>
      <c r="E50" t="inlineStr">
        <is>
          <t>HOFORS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HYPERLINK("https://klasma.github.io/Logging_2104/artfynd/A 48702-2025 artfynd.xlsx", "A 48702-2025")</f>
        <v/>
      </c>
      <c r="T50">
        <f>HYPERLINK("https://klasma.github.io/Logging_2104/kartor/A 48702-2025 karta.png", "A 48702-2025")</f>
        <v/>
      </c>
      <c r="U50">
        <f>HYPERLINK("https://klasma.github.io/Logging_2104/knärot/A 48702-2025 karta knärot.png", "A 48702-2025")</f>
        <v/>
      </c>
      <c r="V50">
        <f>HYPERLINK("https://klasma.github.io/Logging_2104/klagomål/A 48702-2025 FSC-klagomål.docx", "A 48702-2025")</f>
        <v/>
      </c>
      <c r="W50">
        <f>HYPERLINK("https://klasma.github.io/Logging_2104/klagomålsmail/A 48702-2025 FSC-klagomål mail.docx", "A 48702-2025")</f>
        <v/>
      </c>
      <c r="X50">
        <f>HYPERLINK("https://klasma.github.io/Logging_2104/tillsyn/A 48702-2025 tillsynsbegäran.docx", "A 48702-2025")</f>
        <v/>
      </c>
      <c r="Y50">
        <f>HYPERLINK("https://klasma.github.io/Logging_2104/tillsynsmail/A 48702-2025 tillsynsbegäran mail.docx", "A 48702-2025")</f>
        <v/>
      </c>
    </row>
    <row r="51" ht="15" customHeight="1">
      <c r="A51" t="inlineStr">
        <is>
          <t>A 13579-2026</t>
        </is>
      </c>
      <c r="B51" s="1" t="n">
        <v>46095</v>
      </c>
      <c r="C51" s="1" t="n">
        <v>46174</v>
      </c>
      <c r="D51" t="inlineStr">
        <is>
          <t>GÄVLEBORGS LÄN</t>
        </is>
      </c>
      <c r="E51" t="inlineStr">
        <is>
          <t>HOFORS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HYPERLINK("https://klasma.github.io/Logging_2104/artfynd/A 13579-2026 artfynd.xlsx", "A 13579-2026")</f>
        <v/>
      </c>
      <c r="T51">
        <f>HYPERLINK("https://klasma.github.io/Logging_2104/kartor/A 13579-2026 karta.png", "A 13579-2026")</f>
        <v/>
      </c>
      <c r="V51">
        <f>HYPERLINK("https://klasma.github.io/Logging_2104/klagomål/A 13579-2026 FSC-klagomål.docx", "A 13579-2026")</f>
        <v/>
      </c>
      <c r="W51">
        <f>HYPERLINK("https://klasma.github.io/Logging_2104/klagomålsmail/A 13579-2026 FSC-klagomål mail.docx", "A 13579-2026")</f>
        <v/>
      </c>
      <c r="X51">
        <f>HYPERLINK("https://klasma.github.io/Logging_2104/tillsyn/A 13579-2026 tillsynsbegäran.docx", "A 13579-2026")</f>
        <v/>
      </c>
      <c r="Y51">
        <f>HYPERLINK("https://klasma.github.io/Logging_2104/tillsynsmail/A 13579-2026 tillsynsbegäran mail.docx", "A 13579-2026")</f>
        <v/>
      </c>
    </row>
    <row r="52" ht="15" customHeight="1">
      <c r="A52" t="inlineStr">
        <is>
          <t>A 31205-2022</t>
        </is>
      </c>
      <c r="B52" s="1" t="n">
        <v>44770</v>
      </c>
      <c r="C52" s="1" t="n">
        <v>46174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51205-2022</t>
        </is>
      </c>
      <c r="B53" s="1" t="n">
        <v>44868.61302083333</v>
      </c>
      <c r="C53" s="1" t="n">
        <v>46174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46174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46174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46174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46174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46174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46174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52320-2022</t>
        </is>
      </c>
      <c r="B60" s="1" t="n">
        <v>44873</v>
      </c>
      <c r="C60" s="1" t="n">
        <v>46174</v>
      </c>
      <c r="D60" t="inlineStr">
        <is>
          <t>GÄVLEBORGS LÄN</t>
        </is>
      </c>
      <c r="E60" t="inlineStr">
        <is>
          <t>HOFORS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13807-2022</t>
        </is>
      </c>
      <c r="B61" s="1" t="n">
        <v>44649</v>
      </c>
      <c r="C61" s="1" t="n">
        <v>46174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46174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28391-2024</t>
        </is>
      </c>
      <c r="B64" s="1" t="n">
        <v>45477.60254629629</v>
      </c>
      <c r="C64" s="1" t="n">
        <v>46174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46174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46174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37693-2023</t>
        </is>
      </c>
      <c r="B67" s="1" t="n">
        <v>45159.57056712963</v>
      </c>
      <c r="C67" s="1" t="n">
        <v>46174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4032-2025</t>
        </is>
      </c>
      <c r="B68" s="1" t="n">
        <v>45684</v>
      </c>
      <c r="C68" s="1" t="n">
        <v>46174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46174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46174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17179-2025</t>
        </is>
      </c>
      <c r="B71" s="1" t="n">
        <v>45755</v>
      </c>
      <c r="C71" s="1" t="n">
        <v>46174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35498-2024</t>
        </is>
      </c>
      <c r="B72" s="1" t="n">
        <v>45531.51796296296</v>
      </c>
      <c r="C72" s="1" t="n">
        <v>46174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46174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46174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6929-2023</t>
        </is>
      </c>
      <c r="B75" s="1" t="n">
        <v>44967</v>
      </c>
      <c r="C75" s="1" t="n">
        <v>46174</v>
      </c>
      <c r="D75" t="inlineStr">
        <is>
          <t>GÄVLEBORGS LÄN</t>
        </is>
      </c>
      <c r="E75" t="inlineStr">
        <is>
          <t>HOFORS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33979-2024</t>
        </is>
      </c>
      <c r="B76" s="1" t="n">
        <v>45523.51896990741</v>
      </c>
      <c r="C76" s="1" t="n">
        <v>46174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48063-2024</t>
        </is>
      </c>
      <c r="B77" s="1" t="n">
        <v>45589.55237268518</v>
      </c>
      <c r="C77" s="1" t="n">
        <v>46174</v>
      </c>
      <c r="D77" t="inlineStr">
        <is>
          <t>GÄVLEBORGS LÄN</t>
        </is>
      </c>
      <c r="E77" t="inlineStr">
        <is>
          <t>HOFORS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33978-2024</t>
        </is>
      </c>
      <c r="B78" s="1" t="n">
        <v>45523.51716435186</v>
      </c>
      <c r="C78" s="1" t="n">
        <v>46174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33984-2024</t>
        </is>
      </c>
      <c r="B79" s="1" t="n">
        <v>45523.52378472222</v>
      </c>
      <c r="C79" s="1" t="n">
        <v>46174</v>
      </c>
      <c r="D79" t="inlineStr">
        <is>
          <t>GÄVLEBORGS LÄN</t>
        </is>
      </c>
      <c r="E79" t="inlineStr">
        <is>
          <t>HOFORS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17762-2022</t>
        </is>
      </c>
      <c r="B80" s="1" t="n">
        <v>44680</v>
      </c>
      <c r="C80" s="1" t="n">
        <v>46174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58240-2021</t>
        </is>
      </c>
      <c r="B81" s="1" t="n">
        <v>44487.88978009259</v>
      </c>
      <c r="C81" s="1" t="n">
        <v>46174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51277-2022</t>
        </is>
      </c>
      <c r="B82" s="1" t="n">
        <v>44868.7127662037</v>
      </c>
      <c r="C82" s="1" t="n">
        <v>46174</v>
      </c>
      <c r="D82" t="inlineStr">
        <is>
          <t>GÄVLEBORGS LÄN</t>
        </is>
      </c>
      <c r="E82" t="inlineStr">
        <is>
          <t>HOFORS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43730-2023</t>
        </is>
      </c>
      <c r="B83" s="1" t="n">
        <v>45187</v>
      </c>
      <c r="C83" s="1" t="n">
        <v>46174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47524-2024</t>
        </is>
      </c>
      <c r="B84" s="1" t="n">
        <v>45587.63166666667</v>
      </c>
      <c r="C84" s="1" t="n">
        <v>46174</v>
      </c>
      <c r="D84" t="inlineStr">
        <is>
          <t>GÄVLEBORGS LÄN</t>
        </is>
      </c>
      <c r="E84" t="inlineStr">
        <is>
          <t>HOFORS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13471-2024</t>
        </is>
      </c>
      <c r="B85" s="1" t="n">
        <v>45387.57859953704</v>
      </c>
      <c r="C85" s="1" t="n">
        <v>46174</v>
      </c>
      <c r="D85" t="inlineStr">
        <is>
          <t>GÄVLEBORGS LÄN</t>
        </is>
      </c>
      <c r="E85" t="inlineStr">
        <is>
          <t>HOFORS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13745-2023</t>
        </is>
      </c>
      <c r="B86" s="1" t="n">
        <v>45007</v>
      </c>
      <c r="C86" s="1" t="n">
        <v>46174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11953-2025</t>
        </is>
      </c>
      <c r="B87" s="1" t="n">
        <v>45728.56366898148</v>
      </c>
      <c r="C87" s="1" t="n">
        <v>46174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18347-2025</t>
        </is>
      </c>
      <c r="B88" s="1" t="n">
        <v>45762.52913194444</v>
      </c>
      <c r="C88" s="1" t="n">
        <v>46174</v>
      </c>
      <c r="D88" t="inlineStr">
        <is>
          <t>GÄVLEBORGS LÄN</t>
        </is>
      </c>
      <c r="E88" t="inlineStr">
        <is>
          <t>HOFORS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14119-2025</t>
        </is>
      </c>
      <c r="B89" s="1" t="n">
        <v>45740.4659837963</v>
      </c>
      <c r="C89" s="1" t="n">
        <v>46174</v>
      </c>
      <c r="D89" t="inlineStr">
        <is>
          <t>GÄVLEBORGS LÄN</t>
        </is>
      </c>
      <c r="E89" t="inlineStr">
        <is>
          <t>HOFORS</t>
        </is>
      </c>
      <c r="F89" t="inlineStr">
        <is>
          <t>Bergvik skog öst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46174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37680-2022</t>
        </is>
      </c>
      <c r="B91" s="1" t="n">
        <v>44810</v>
      </c>
      <c r="C91" s="1" t="n">
        <v>46174</v>
      </c>
      <c r="D91" t="inlineStr">
        <is>
          <t>GÄVLEBORGS LÄN</t>
        </is>
      </c>
      <c r="E91" t="inlineStr">
        <is>
          <t>HOFORS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31613-2023</t>
        </is>
      </c>
      <c r="B92" s="1" t="n">
        <v>45117</v>
      </c>
      <c r="C92" s="1" t="n">
        <v>46174</v>
      </c>
      <c r="D92" t="inlineStr">
        <is>
          <t>GÄVLEBORGS LÄN</t>
        </is>
      </c>
      <c r="E92" t="inlineStr">
        <is>
          <t>HOFORS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21039-2024</t>
        </is>
      </c>
      <c r="B93" s="1" t="n">
        <v>45439</v>
      </c>
      <c r="C93" s="1" t="n">
        <v>46174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11813-2024</t>
        </is>
      </c>
      <c r="B94" s="1" t="n">
        <v>45376.30138888889</v>
      </c>
      <c r="C94" s="1" t="n">
        <v>46174</v>
      </c>
      <c r="D94" t="inlineStr">
        <is>
          <t>GÄVLEBORGS LÄN</t>
        </is>
      </c>
      <c r="E94" t="inlineStr">
        <is>
          <t>HOFORS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59130-2024</t>
        </is>
      </c>
      <c r="B95" s="1" t="n">
        <v>45637</v>
      </c>
      <c r="C95" s="1" t="n">
        <v>46174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25465-2024</t>
        </is>
      </c>
      <c r="B96" s="1" t="n">
        <v>45463.43416666667</v>
      </c>
      <c r="C96" s="1" t="n">
        <v>46174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46174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46174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46174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38746-2025</t>
        </is>
      </c>
      <c r="B100" s="1" t="n">
        <v>45887.37974537037</v>
      </c>
      <c r="C100" s="1" t="n">
        <v>46174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38741-2025</t>
        </is>
      </c>
      <c r="B101" s="1" t="n">
        <v>45887.37405092592</v>
      </c>
      <c r="C101" s="1" t="n">
        <v>46174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38486-2025</t>
        </is>
      </c>
      <c r="B102" s="1" t="n">
        <v>45884.34282407408</v>
      </c>
      <c r="C102" s="1" t="n">
        <v>46174</v>
      </c>
      <c r="D102" t="inlineStr">
        <is>
          <t>GÄVLEBORGS LÄN</t>
        </is>
      </c>
      <c r="E102" t="inlineStr">
        <is>
          <t>HOFORS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38744-2025</t>
        </is>
      </c>
      <c r="B103" s="1" t="n">
        <v>45887.37774305556</v>
      </c>
      <c r="C103" s="1" t="n">
        <v>46174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44356-2023</t>
        </is>
      </c>
      <c r="B104" s="1" t="n">
        <v>45188.81979166667</v>
      </c>
      <c r="C104" s="1" t="n">
        <v>46174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46174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46174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35114-2023</t>
        </is>
      </c>
      <c r="B107" s="1" t="n">
        <v>45145</v>
      </c>
      <c r="C107" s="1" t="n">
        <v>46174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35136-2023</t>
        </is>
      </c>
      <c r="B108" s="1" t="n">
        <v>45145.52915509259</v>
      </c>
      <c r="C108" s="1" t="n">
        <v>46174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38251-2022</t>
        </is>
      </c>
      <c r="B109" s="1" t="n">
        <v>44812.4874537037</v>
      </c>
      <c r="C109" s="1" t="n">
        <v>46174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8510-2023</t>
        </is>
      </c>
      <c r="B110" s="1" t="n">
        <v>44977.56144675926</v>
      </c>
      <c r="C110" s="1" t="n">
        <v>46174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40407-2025</t>
        </is>
      </c>
      <c r="B111" s="1" t="n">
        <v>45895.57083333333</v>
      </c>
      <c r="C111" s="1" t="n">
        <v>46174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31607-2023</t>
        </is>
      </c>
      <c r="B112" s="1" t="n">
        <v>45117</v>
      </c>
      <c r="C112" s="1" t="n">
        <v>46174</v>
      </c>
      <c r="D112" t="inlineStr">
        <is>
          <t>GÄVLEBORGS LÄN</t>
        </is>
      </c>
      <c r="E112" t="inlineStr">
        <is>
          <t>HOFORS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31611-2023</t>
        </is>
      </c>
      <c r="B113" s="1" t="n">
        <v>45117</v>
      </c>
      <c r="C113" s="1" t="n">
        <v>46174</v>
      </c>
      <c r="D113" t="inlineStr">
        <is>
          <t>GÄVLEBORGS LÄN</t>
        </is>
      </c>
      <c r="E113" t="inlineStr">
        <is>
          <t>HOFORS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10740-2025</t>
        </is>
      </c>
      <c r="B114" s="1" t="n">
        <v>45722.41008101852</v>
      </c>
      <c r="C114" s="1" t="n">
        <v>46174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46174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25477-2024</t>
        </is>
      </c>
      <c r="B116" s="1" t="n">
        <v>45463.45015046297</v>
      </c>
      <c r="C116" s="1" t="n">
        <v>46174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36283-2024</t>
        </is>
      </c>
      <c r="B117" s="1" t="n">
        <v>45534.58899305556</v>
      </c>
      <c r="C117" s="1" t="n">
        <v>46174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41569-2025</t>
        </is>
      </c>
      <c r="B118" s="1" t="n">
        <v>45901.60810185185</v>
      </c>
      <c r="C118" s="1" t="n">
        <v>46174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43282-2021</t>
        </is>
      </c>
      <c r="B119" s="1" t="n">
        <v>44432.39119212963</v>
      </c>
      <c r="C119" s="1" t="n">
        <v>46174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36278-2024</t>
        </is>
      </c>
      <c r="B120" s="1" t="n">
        <v>45534.58508101852</v>
      </c>
      <c r="C120" s="1" t="n">
        <v>46174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41620-2025</t>
        </is>
      </c>
      <c r="B121" s="1" t="n">
        <v>45901.70319444445</v>
      </c>
      <c r="C121" s="1" t="n">
        <v>46174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25476-2024</t>
        </is>
      </c>
      <c r="B122" s="1" t="n">
        <v>45463.44922453703</v>
      </c>
      <c r="C122" s="1" t="n">
        <v>46174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47495-2024</t>
        </is>
      </c>
      <c r="B123" s="1" t="n">
        <v>45587.59559027778</v>
      </c>
      <c r="C123" s="1" t="n">
        <v>46174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33495-2023</t>
        </is>
      </c>
      <c r="B124" s="1" t="n">
        <v>45118</v>
      </c>
      <c r="C124" s="1" t="n">
        <v>46174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43143-2024</t>
        </is>
      </c>
      <c r="B125" s="1" t="n">
        <v>45567.62359953704</v>
      </c>
      <c r="C125" s="1" t="n">
        <v>46174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30007-2024</t>
        </is>
      </c>
      <c r="B126" s="1" t="n">
        <v>45488.60150462963</v>
      </c>
      <c r="C126" s="1" t="n">
        <v>46174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30009-2024</t>
        </is>
      </c>
      <c r="B127" s="1" t="n">
        <v>45488.60546296297</v>
      </c>
      <c r="C127" s="1" t="n">
        <v>46174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54578-2024</t>
        </is>
      </c>
      <c r="B128" s="1" t="n">
        <v>45617.65644675926</v>
      </c>
      <c r="C128" s="1" t="n">
        <v>46174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49815-2024</t>
        </is>
      </c>
      <c r="B129" s="1" t="n">
        <v>45597.39709490741</v>
      </c>
      <c r="C129" s="1" t="n">
        <v>46174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37763-2023</t>
        </is>
      </c>
      <c r="B130" s="1" t="n">
        <v>45156</v>
      </c>
      <c r="C130" s="1" t="n">
        <v>46174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46174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46174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46174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31645-2024</t>
        </is>
      </c>
      <c r="B134" s="1" t="n">
        <v>45506.60777777778</v>
      </c>
      <c r="C134" s="1" t="n">
        <v>46174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64359-2023</t>
        </is>
      </c>
      <c r="B135" s="1" t="n">
        <v>45280</v>
      </c>
      <c r="C135" s="1" t="n">
        <v>46174</v>
      </c>
      <c r="D135" t="inlineStr">
        <is>
          <t>GÄVLEBORGS LÄN</t>
        </is>
      </c>
      <c r="E135" t="inlineStr">
        <is>
          <t>HOFORS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58787-2021</t>
        </is>
      </c>
      <c r="B136" s="1" t="n">
        <v>44489.56234953704</v>
      </c>
      <c r="C136" s="1" t="n">
        <v>46174</v>
      </c>
      <c r="D136" t="inlineStr">
        <is>
          <t>GÄVLEBORGS LÄN</t>
        </is>
      </c>
      <c r="E136" t="inlineStr">
        <is>
          <t>HOFORS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24988-2023</t>
        </is>
      </c>
      <c r="B137" s="1" t="n">
        <v>45085.64087962963</v>
      </c>
      <c r="C137" s="1" t="n">
        <v>46174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30229-2024</t>
        </is>
      </c>
      <c r="B138" s="1" t="n">
        <v>45490.46946759259</v>
      </c>
      <c r="C138" s="1" t="n">
        <v>46174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2612-2025</t>
        </is>
      </c>
      <c r="B139" s="1" t="n">
        <v>45674</v>
      </c>
      <c r="C139" s="1" t="n">
        <v>46174</v>
      </c>
      <c r="D139" t="inlineStr">
        <is>
          <t>GÄVLEBORGS LÄN</t>
        </is>
      </c>
      <c r="E139" t="inlineStr">
        <is>
          <t>HOFORS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23376-2024</t>
        </is>
      </c>
      <c r="B140" s="1" t="n">
        <v>45453</v>
      </c>
      <c r="C140" s="1" t="n">
        <v>46174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44694-2025</t>
        </is>
      </c>
      <c r="B141" s="1" t="n">
        <v>45917.59674768519</v>
      </c>
      <c r="C141" s="1" t="n">
        <v>46174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44692-2025</t>
        </is>
      </c>
      <c r="B142" s="1" t="n">
        <v>45917.59540509259</v>
      </c>
      <c r="C142" s="1" t="n">
        <v>46174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58955-2023</t>
        </is>
      </c>
      <c r="B143" s="1" t="n">
        <v>45252</v>
      </c>
      <c r="C143" s="1" t="n">
        <v>46174</v>
      </c>
      <c r="D143" t="inlineStr">
        <is>
          <t>GÄVLEBORGS LÄN</t>
        </is>
      </c>
      <c r="E143" t="inlineStr">
        <is>
          <t>HOFORS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6963-2024</t>
        </is>
      </c>
      <c r="B144" s="1" t="n">
        <v>45343.4562037037</v>
      </c>
      <c r="C144" s="1" t="n">
        <v>46174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46174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20972-2025</t>
        </is>
      </c>
      <c r="B146" s="1" t="n">
        <v>45777.45725694444</v>
      </c>
      <c r="C146" s="1" t="n">
        <v>46174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47091-2025</t>
        </is>
      </c>
      <c r="B147" s="1" t="n">
        <v>45929.65052083333</v>
      </c>
      <c r="C147" s="1" t="n">
        <v>46174</v>
      </c>
      <c r="D147" t="inlineStr">
        <is>
          <t>GÄVLEBORGS LÄN</t>
        </is>
      </c>
      <c r="E147" t="inlineStr">
        <is>
          <t>HOFORS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47097-2025</t>
        </is>
      </c>
      <c r="B148" s="1" t="n">
        <v>45929.65541666667</v>
      </c>
      <c r="C148" s="1" t="n">
        <v>46174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13473-2024</t>
        </is>
      </c>
      <c r="B149" s="1" t="n">
        <v>45387.5827662037</v>
      </c>
      <c r="C149" s="1" t="n">
        <v>46174</v>
      </c>
      <c r="D149" t="inlineStr">
        <is>
          <t>GÄVLEBORGS LÄN</t>
        </is>
      </c>
      <c r="E149" t="inlineStr">
        <is>
          <t>HOFORS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31123-2021</t>
        </is>
      </c>
      <c r="B150" s="1" t="n">
        <v>44368</v>
      </c>
      <c r="C150" s="1" t="n">
        <v>46174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36763-2024</t>
        </is>
      </c>
      <c r="B151" s="1" t="n">
        <v>45538.36181712963</v>
      </c>
      <c r="C151" s="1" t="n">
        <v>46174</v>
      </c>
      <c r="D151" t="inlineStr">
        <is>
          <t>GÄVLEBORGS LÄN</t>
        </is>
      </c>
      <c r="E151" t="inlineStr">
        <is>
          <t>HOFORS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28133-2024</t>
        </is>
      </c>
      <c r="B152" s="1" t="n">
        <v>45476.69053240741</v>
      </c>
      <c r="C152" s="1" t="n">
        <v>46174</v>
      </c>
      <c r="D152" t="inlineStr">
        <is>
          <t>GÄVLEBORGS LÄN</t>
        </is>
      </c>
      <c r="E152" t="inlineStr">
        <is>
          <t>HOFORS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47249-2025</t>
        </is>
      </c>
      <c r="B153" s="1" t="n">
        <v>45930.43439814815</v>
      </c>
      <c r="C153" s="1" t="n">
        <v>46174</v>
      </c>
      <c r="D153" t="inlineStr">
        <is>
          <t>GÄVLEBORGS LÄN</t>
        </is>
      </c>
      <c r="E153" t="inlineStr">
        <is>
          <t>HOFORS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47469-2025</t>
        </is>
      </c>
      <c r="B154" s="1" t="n">
        <v>45930.67037037037</v>
      </c>
      <c r="C154" s="1" t="n">
        <v>46174</v>
      </c>
      <c r="D154" t="inlineStr">
        <is>
          <t>GÄVLEBORGS LÄN</t>
        </is>
      </c>
      <c r="E154" t="inlineStr">
        <is>
          <t>HOFORS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21027-2024</t>
        </is>
      </c>
      <c r="B155" s="1" t="n">
        <v>45439</v>
      </c>
      <c r="C155" s="1" t="n">
        <v>46174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21028-2024</t>
        </is>
      </c>
      <c r="B156" s="1" t="n">
        <v>45439</v>
      </c>
      <c r="C156" s="1" t="n">
        <v>46174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48232-2025</t>
        </is>
      </c>
      <c r="B157" s="1" t="n">
        <v>45933.53054398148</v>
      </c>
      <c r="C157" s="1" t="n">
        <v>46174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37744-2022</t>
        </is>
      </c>
      <c r="B158" s="1" t="n">
        <v>44810.58422453704</v>
      </c>
      <c r="C158" s="1" t="n">
        <v>46174</v>
      </c>
      <c r="D158" t="inlineStr">
        <is>
          <t>GÄVLEBORGS LÄN</t>
        </is>
      </c>
      <c r="E158" t="inlineStr">
        <is>
          <t>HOFORS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48242-2025</t>
        </is>
      </c>
      <c r="B159" s="1" t="n">
        <v>45933.53510416667</v>
      </c>
      <c r="C159" s="1" t="n">
        <v>46174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16371-2022</t>
        </is>
      </c>
      <c r="B160" s="1" t="n">
        <v>44671</v>
      </c>
      <c r="C160" s="1" t="n">
        <v>46174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27959-2025</t>
        </is>
      </c>
      <c r="B161" s="1" t="n">
        <v>45816</v>
      </c>
      <c r="C161" s="1" t="n">
        <v>46174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45.6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48240-2025</t>
        </is>
      </c>
      <c r="B162" s="1" t="n">
        <v>45933.53292824074</v>
      </c>
      <c r="C162" s="1" t="n">
        <v>46174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48241-2025</t>
        </is>
      </c>
      <c r="B163" s="1" t="n">
        <v>45933.53391203703</v>
      </c>
      <c r="C163" s="1" t="n">
        <v>46174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48252-2025</t>
        </is>
      </c>
      <c r="B164" s="1" t="n">
        <v>45933.55329861111</v>
      </c>
      <c r="C164" s="1" t="n">
        <v>46174</v>
      </c>
      <c r="D164" t="inlineStr">
        <is>
          <t>GÄVLEBORGS LÄN</t>
        </is>
      </c>
      <c r="E164" t="inlineStr">
        <is>
          <t>HOFORS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48231-2025</t>
        </is>
      </c>
      <c r="B165" s="1" t="n">
        <v>45933.52594907407</v>
      </c>
      <c r="C165" s="1" t="n">
        <v>46174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57751-2024</t>
        </is>
      </c>
      <c r="B166" s="1" t="n">
        <v>45630.82424768519</v>
      </c>
      <c r="C166" s="1" t="n">
        <v>46174</v>
      </c>
      <c r="D166" t="inlineStr">
        <is>
          <t>GÄVLEBORGS LÄN</t>
        </is>
      </c>
      <c r="E166" t="inlineStr">
        <is>
          <t>HOFORS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10184-2022</t>
        </is>
      </c>
      <c r="B167" s="1" t="n">
        <v>44622</v>
      </c>
      <c r="C167" s="1" t="n">
        <v>46174</v>
      </c>
      <c r="D167" t="inlineStr">
        <is>
          <t>GÄVLEBORGS LÄN</t>
        </is>
      </c>
      <c r="E167" t="inlineStr">
        <is>
          <t>HOFORS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10602-2022</t>
        </is>
      </c>
      <c r="B168" s="1" t="n">
        <v>44624</v>
      </c>
      <c r="C168" s="1" t="n">
        <v>46174</v>
      </c>
      <c r="D168" t="inlineStr">
        <is>
          <t>GÄVLEBORGS LÄN</t>
        </is>
      </c>
      <c r="E168" t="inlineStr">
        <is>
          <t>HOFORS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47531-2021</t>
        </is>
      </c>
      <c r="B169" s="1" t="n">
        <v>44447</v>
      </c>
      <c r="C169" s="1" t="n">
        <v>46174</v>
      </c>
      <c r="D169" t="inlineStr">
        <is>
          <t>GÄVLEBORGS LÄN</t>
        </is>
      </c>
      <c r="E169" t="inlineStr">
        <is>
          <t>HOFORS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48612-2025</t>
        </is>
      </c>
      <c r="B170" s="1" t="n">
        <v>45935</v>
      </c>
      <c r="C170" s="1" t="n">
        <v>46174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48609-2025</t>
        </is>
      </c>
      <c r="B171" s="1" t="n">
        <v>45935</v>
      </c>
      <c r="C171" s="1" t="n">
        <v>46174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43885-2025</t>
        </is>
      </c>
      <c r="B172" s="1" t="n">
        <v>45912.69076388889</v>
      </c>
      <c r="C172" s="1" t="n">
        <v>46174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43887-2025</t>
        </is>
      </c>
      <c r="B173" s="1" t="n">
        <v>45912.69278935185</v>
      </c>
      <c r="C173" s="1" t="n">
        <v>46174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45965-2025</t>
        </is>
      </c>
      <c r="B174" s="1" t="n">
        <v>45924.35655092593</v>
      </c>
      <c r="C174" s="1" t="n">
        <v>46174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46174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46174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46174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62596-2023</t>
        </is>
      </c>
      <c r="B178" s="1" t="n">
        <v>45271</v>
      </c>
      <c r="C178" s="1" t="n">
        <v>46174</v>
      </c>
      <c r="D178" t="inlineStr">
        <is>
          <t>GÄVLEBORGS LÄN</t>
        </is>
      </c>
      <c r="E178" t="inlineStr">
        <is>
          <t>HOFORS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33734-2024</t>
        </is>
      </c>
      <c r="B179" s="1" t="n">
        <v>45520</v>
      </c>
      <c r="C179" s="1" t="n">
        <v>46174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51225-2025</t>
        </is>
      </c>
      <c r="B180" s="1" t="n">
        <v>45947.65599537037</v>
      </c>
      <c r="C180" s="1" t="n">
        <v>46174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25474-2024</t>
        </is>
      </c>
      <c r="B181" s="1" t="n">
        <v>45463.44631944445</v>
      </c>
      <c r="C181" s="1" t="n">
        <v>46174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1144-2024</t>
        </is>
      </c>
      <c r="B182" s="1" t="n">
        <v>45302.49138888889</v>
      </c>
      <c r="C182" s="1" t="n">
        <v>46174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8448-2025</t>
        </is>
      </c>
      <c r="B183" s="1" t="n">
        <v>45709</v>
      </c>
      <c r="C183" s="1" t="n">
        <v>46174</v>
      </c>
      <c r="D183" t="inlineStr">
        <is>
          <t>GÄVLEBORGS LÄN</t>
        </is>
      </c>
      <c r="E183" t="inlineStr">
        <is>
          <t>HOFORS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11607-2023</t>
        </is>
      </c>
      <c r="B184" s="1" t="n">
        <v>44994</v>
      </c>
      <c r="C184" s="1" t="n">
        <v>46174</v>
      </c>
      <c r="D184" t="inlineStr">
        <is>
          <t>GÄVLEBORGS LÄN</t>
        </is>
      </c>
      <c r="E184" t="inlineStr">
        <is>
          <t>HOFORS</t>
        </is>
      </c>
      <c r="F184" t="inlineStr">
        <is>
          <t>Övriga statliga verk och myndigheter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47493-2024</t>
        </is>
      </c>
      <c r="B185" s="1" t="n">
        <v>45587.59410879629</v>
      </c>
      <c r="C185" s="1" t="n">
        <v>46174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43726-2023</t>
        </is>
      </c>
      <c r="B186" s="1" t="n">
        <v>45187</v>
      </c>
      <c r="C186" s="1" t="n">
        <v>46174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35504-2024</t>
        </is>
      </c>
      <c r="B187" s="1" t="n">
        <v>45531.53686342593</v>
      </c>
      <c r="C187" s="1" t="n">
        <v>46174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68079-2021</t>
        </is>
      </c>
      <c r="B188" s="1" t="n">
        <v>44526.31943287037</v>
      </c>
      <c r="C188" s="1" t="n">
        <v>46174</v>
      </c>
      <c r="D188" t="inlineStr">
        <is>
          <t>GÄVLEBORGS LÄN</t>
        </is>
      </c>
      <c r="E188" t="inlineStr">
        <is>
          <t>HOFORS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10161-2023</t>
        </is>
      </c>
      <c r="B189" s="1" t="n">
        <v>44986</v>
      </c>
      <c r="C189" s="1" t="n">
        <v>46174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52693-2025</t>
        </is>
      </c>
      <c r="B190" s="1" t="n">
        <v>45956.58960648148</v>
      </c>
      <c r="C190" s="1" t="n">
        <v>46174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21340-2025</t>
        </is>
      </c>
      <c r="B191" s="1" t="n">
        <v>45782.38909722222</v>
      </c>
      <c r="C191" s="1" t="n">
        <v>46174</v>
      </c>
      <c r="D191" t="inlineStr">
        <is>
          <t>GÄVLEBORGS LÄN</t>
        </is>
      </c>
      <c r="E191" t="inlineStr">
        <is>
          <t>HOFORS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6958-2024</t>
        </is>
      </c>
      <c r="B192" s="1" t="n">
        <v>45343</v>
      </c>
      <c r="C192" s="1" t="n">
        <v>46174</v>
      </c>
      <c r="D192" t="inlineStr">
        <is>
          <t>GÄVLEBORGS LÄN</t>
        </is>
      </c>
      <c r="E192" t="inlineStr">
        <is>
          <t>HOFORS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54826-2021</t>
        </is>
      </c>
      <c r="B193" s="1" t="n">
        <v>44473</v>
      </c>
      <c r="C193" s="1" t="n">
        <v>46174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33710-2024</t>
        </is>
      </c>
      <c r="B194" s="1" t="n">
        <v>45520</v>
      </c>
      <c r="C194" s="1" t="n">
        <v>46174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46174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46174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46174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34232-2023</t>
        </is>
      </c>
      <c r="B198" s="1" t="n">
        <v>45127</v>
      </c>
      <c r="C198" s="1" t="n">
        <v>46174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54827-2025</t>
        </is>
      </c>
      <c r="B199" s="1" t="n">
        <v>45966.66925925926</v>
      </c>
      <c r="C199" s="1" t="n">
        <v>46174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55288-2025</t>
        </is>
      </c>
      <c r="B200" s="1" t="n">
        <v>45969.33444444444</v>
      </c>
      <c r="C200" s="1" t="n">
        <v>46174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5554-2024</t>
        </is>
      </c>
      <c r="B201" s="1" t="n">
        <v>45334</v>
      </c>
      <c r="C201" s="1" t="n">
        <v>46174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46174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46174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22288-2026</t>
        </is>
      </c>
      <c r="B204" s="1" t="n">
        <v>46154</v>
      </c>
      <c r="C204" s="1" t="n">
        <v>46174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HYPERLINK("https://klasma.github.io/Logging_2104/knärot/A 22288-2026 karta knärot.png", "A 22288-2026")</f>
        <v/>
      </c>
      <c r="V204">
        <f>HYPERLINK("https://klasma.github.io/Logging_2104/klagomål/A 22288-2026 FSC-klagomål.docx", "A 22288-2026")</f>
        <v/>
      </c>
      <c r="W204">
        <f>HYPERLINK("https://klasma.github.io/Logging_2104/klagomålsmail/A 22288-2026 FSC-klagomål mail.docx", "A 22288-2026")</f>
        <v/>
      </c>
      <c r="X204">
        <f>HYPERLINK("https://klasma.github.io/Logging_2104/tillsyn/A 22288-2026 tillsynsbegäran.docx", "A 22288-2026")</f>
        <v/>
      </c>
      <c r="Y204">
        <f>HYPERLINK("https://klasma.github.io/Logging_2104/tillsynsmail/A 22288-2026 tillsynsbegäran mail.docx", "A 22288-2026")</f>
        <v/>
      </c>
    </row>
    <row r="205" ht="15" customHeight="1">
      <c r="A205" t="inlineStr">
        <is>
          <t>A 23833-2026</t>
        </is>
      </c>
      <c r="B205" s="1" t="n">
        <v>46167.31614583333</v>
      </c>
      <c r="C205" s="1" t="n">
        <v>46174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47639-2021</t>
        </is>
      </c>
      <c r="B206" s="1" t="n">
        <v>44448.3966087963</v>
      </c>
      <c r="C206" s="1" t="n">
        <v>46174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32827-2024</t>
        </is>
      </c>
      <c r="B207" s="1" t="n">
        <v>45516.59273148148</v>
      </c>
      <c r="C207" s="1" t="n">
        <v>46174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8321-2026</t>
        </is>
      </c>
      <c r="B208" s="1" t="n">
        <v>46064.60894675926</v>
      </c>
      <c r="C208" s="1" t="n">
        <v>46174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24342-2026</t>
        </is>
      </c>
      <c r="B209" s="1" t="n">
        <v>46169.54778935185</v>
      </c>
      <c r="C209" s="1" t="n">
        <v>46174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1149-2024</t>
        </is>
      </c>
      <c r="B210" s="1" t="n">
        <v>45302.49834490741</v>
      </c>
      <c r="C210" s="1" t="n">
        <v>46174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57596-2025</t>
        </is>
      </c>
      <c r="B211" s="1" t="n">
        <v>45980.9716087963</v>
      </c>
      <c r="C211" s="1" t="n">
        <v>46174</v>
      </c>
      <c r="D211" t="inlineStr">
        <is>
          <t>GÄVLEBORGS LÄN</t>
        </is>
      </c>
      <c r="E211" t="inlineStr">
        <is>
          <t>HOFORS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57593-2025</t>
        </is>
      </c>
      <c r="B212" s="1" t="n">
        <v>45980.96055555555</v>
      </c>
      <c r="C212" s="1" t="n">
        <v>46174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57595-2025</t>
        </is>
      </c>
      <c r="B213" s="1" t="n">
        <v>45980.97019675926</v>
      </c>
      <c r="C213" s="1" t="n">
        <v>46174</v>
      </c>
      <c r="D213" t="inlineStr">
        <is>
          <t>GÄVLEBORGS LÄN</t>
        </is>
      </c>
      <c r="E213" t="inlineStr">
        <is>
          <t>HOFORS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11873-2026</t>
        </is>
      </c>
      <c r="B214" s="1" t="n">
        <v>46085</v>
      </c>
      <c r="C214" s="1" t="n">
        <v>46174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24258-2026</t>
        </is>
      </c>
      <c r="B215" s="1" t="n">
        <v>46169.31497685185</v>
      </c>
      <c r="C215" s="1" t="n">
        <v>46174</v>
      </c>
      <c r="D215" t="inlineStr">
        <is>
          <t>GÄVLEBORGS LÄN</t>
        </is>
      </c>
      <c r="E215" t="inlineStr">
        <is>
          <t>HOFORS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22844-2025</t>
        </is>
      </c>
      <c r="B216" s="1" t="n">
        <v>45790.32160879629</v>
      </c>
      <c r="C216" s="1" t="n">
        <v>46174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</v>
      </c>
      <c r="C217" s="1" t="n">
        <v>46174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57594-2025</t>
        </is>
      </c>
      <c r="B218" s="1" t="n">
        <v>45980.96221064815</v>
      </c>
      <c r="C218" s="1" t="n">
        <v>46174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58324-2025</t>
        </is>
      </c>
      <c r="B219" s="1" t="n">
        <v>45985.47690972222</v>
      </c>
      <c r="C219" s="1" t="n">
        <v>46174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58008-2025</t>
        </is>
      </c>
      <c r="B220" s="1" t="n">
        <v>45982.45744212963</v>
      </c>
      <c r="C220" s="1" t="n">
        <v>46174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58633-2025</t>
        </is>
      </c>
      <c r="B221" s="1" t="n">
        <v>45986.48885416667</v>
      </c>
      <c r="C221" s="1" t="n">
        <v>46174</v>
      </c>
      <c r="D221" t="inlineStr">
        <is>
          <t>GÄVLEBORGS LÄN</t>
        </is>
      </c>
      <c r="E221" t="inlineStr">
        <is>
          <t>HOFORS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23666-2025</t>
        </is>
      </c>
      <c r="B222" s="1" t="n">
        <v>45792.84364583333</v>
      </c>
      <c r="C222" s="1" t="n">
        <v>46174</v>
      </c>
      <c r="D222" t="inlineStr">
        <is>
          <t>GÄVLEBORGS LÄN</t>
        </is>
      </c>
      <c r="E222" t="inlineStr">
        <is>
          <t>HOFORS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58805-2025</t>
        </is>
      </c>
      <c r="B223" s="1" t="n">
        <v>45986.9652662037</v>
      </c>
      <c r="C223" s="1" t="n">
        <v>46174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24395-2025</t>
        </is>
      </c>
      <c r="B224" s="1" t="n">
        <v>45797.63881944444</v>
      </c>
      <c r="C224" s="1" t="n">
        <v>46174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33981-2024</t>
        </is>
      </c>
      <c r="B225" s="1" t="n">
        <v>45523.52111111111</v>
      </c>
      <c r="C225" s="1" t="n">
        <v>46174</v>
      </c>
      <c r="D225" t="inlineStr">
        <is>
          <t>GÄVLEBORGS LÄN</t>
        </is>
      </c>
      <c r="E225" t="inlineStr">
        <is>
          <t>HOFORS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59615-2023</t>
        </is>
      </c>
      <c r="B226" s="1" t="n">
        <v>45254</v>
      </c>
      <c r="C226" s="1" t="n">
        <v>46174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53517-2024</t>
        </is>
      </c>
      <c r="B227" s="1" t="n">
        <v>45614.60436342593</v>
      </c>
      <c r="C227" s="1" t="n">
        <v>46174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61186-2025</t>
        </is>
      </c>
      <c r="B228" s="1" t="n">
        <v>46000.58625</v>
      </c>
      <c r="C228" s="1" t="n">
        <v>46174</v>
      </c>
      <c r="D228" t="inlineStr">
        <is>
          <t>GÄVLEBORGS LÄN</t>
        </is>
      </c>
      <c r="E228" t="inlineStr">
        <is>
          <t>HOFORS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61642-2025</t>
        </is>
      </c>
      <c r="B229" s="1" t="n">
        <v>46002.43494212963</v>
      </c>
      <c r="C229" s="1" t="n">
        <v>46174</v>
      </c>
      <c r="D229" t="inlineStr">
        <is>
          <t>GÄVLEBORGS LÄN</t>
        </is>
      </c>
      <c r="E229" t="inlineStr">
        <is>
          <t>HOFORS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26753-2025</t>
        </is>
      </c>
      <c r="B230" s="1" t="n">
        <v>45810.55490740741</v>
      </c>
      <c r="C230" s="1" t="n">
        <v>46174</v>
      </c>
      <c r="D230" t="inlineStr">
        <is>
          <t>GÄVLEBORGS LÄN</t>
        </is>
      </c>
      <c r="E230" t="inlineStr">
        <is>
          <t>HOFORS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64000-2025</t>
        </is>
      </c>
      <c r="B231" s="1" t="n">
        <v>46021.39847222222</v>
      </c>
      <c r="C231" s="1" t="n">
        <v>46174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27431-2025</t>
        </is>
      </c>
      <c r="B232" s="1" t="n">
        <v>45813</v>
      </c>
      <c r="C232" s="1" t="n">
        <v>46174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27436-2025</t>
        </is>
      </c>
      <c r="B233" s="1" t="n">
        <v>45813</v>
      </c>
      <c r="C233" s="1" t="n">
        <v>46174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27438-2025</t>
        </is>
      </c>
      <c r="B234" s="1" t="n">
        <v>45813.3143287037</v>
      </c>
      <c r="C234" s="1" t="n">
        <v>46174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27432-2025</t>
        </is>
      </c>
      <c r="B235" s="1" t="n">
        <v>45813</v>
      </c>
      <c r="C235" s="1" t="n">
        <v>46174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27441-2025</t>
        </is>
      </c>
      <c r="B236" s="1" t="n">
        <v>45813.31630787037</v>
      </c>
      <c r="C236" s="1" t="n">
        <v>46174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129-2026</t>
        </is>
      </c>
      <c r="B237" s="1" t="n">
        <v>46024.59600694444</v>
      </c>
      <c r="C237" s="1" t="n">
        <v>46174</v>
      </c>
      <c r="D237" t="inlineStr">
        <is>
          <t>GÄVLEBORGS LÄN</t>
        </is>
      </c>
      <c r="E237" t="inlineStr">
        <is>
          <t>HOFORS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341-2026</t>
        </is>
      </c>
      <c r="B238" s="1" t="n">
        <v>46027</v>
      </c>
      <c r="C238" s="1" t="n">
        <v>46174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659-2026</t>
        </is>
      </c>
      <c r="B239" s="1" t="n">
        <v>46029.58206018519</v>
      </c>
      <c r="C239" s="1" t="n">
        <v>46174</v>
      </c>
      <c r="D239" t="inlineStr">
        <is>
          <t>GÄVLEBORGS LÄN</t>
        </is>
      </c>
      <c r="E239" t="inlineStr">
        <is>
          <t>HOFORS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692-2026</t>
        </is>
      </c>
      <c r="B240" s="1" t="n">
        <v>46029</v>
      </c>
      <c r="C240" s="1" t="n">
        <v>46174</v>
      </c>
      <c r="D240" t="inlineStr">
        <is>
          <t>GÄVLEBORGS LÄN</t>
        </is>
      </c>
      <c r="E240" t="inlineStr">
        <is>
          <t>HOFORS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681-2026</t>
        </is>
      </c>
      <c r="B241" s="1" t="n">
        <v>46029</v>
      </c>
      <c r="C241" s="1" t="n">
        <v>46174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683-2026</t>
        </is>
      </c>
      <c r="B242" s="1" t="n">
        <v>46029</v>
      </c>
      <c r="C242" s="1" t="n">
        <v>46174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688-2026</t>
        </is>
      </c>
      <c r="B243" s="1" t="n">
        <v>46029</v>
      </c>
      <c r="C243" s="1" t="n">
        <v>46174</v>
      </c>
      <c r="D243" t="inlineStr">
        <is>
          <t>GÄVLEBORGS LÄN</t>
        </is>
      </c>
      <c r="E243" t="inlineStr">
        <is>
          <t>HOFORS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64036-2025</t>
        </is>
      </c>
      <c r="B244" s="1" t="n">
        <v>46021</v>
      </c>
      <c r="C244" s="1" t="n">
        <v>46174</v>
      </c>
      <c r="D244" t="inlineStr">
        <is>
          <t>GÄVLEBORGS LÄN</t>
        </is>
      </c>
      <c r="E244" t="inlineStr">
        <is>
          <t>HOFORS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802-2026</t>
        </is>
      </c>
      <c r="B245" s="1" t="n">
        <v>46030</v>
      </c>
      <c r="C245" s="1" t="n">
        <v>46174</v>
      </c>
      <c r="D245" t="inlineStr">
        <is>
          <t>GÄVLEBORGS LÄN</t>
        </is>
      </c>
      <c r="E245" t="inlineStr">
        <is>
          <t>HOFORS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837-2026</t>
        </is>
      </c>
      <c r="B246" s="1" t="n">
        <v>46030.3752662037</v>
      </c>
      <c r="C246" s="1" t="n">
        <v>46174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892-2026</t>
        </is>
      </c>
      <c r="B247" s="1" t="n">
        <v>46030.45260416667</v>
      </c>
      <c r="C247" s="1" t="n">
        <v>46174</v>
      </c>
      <c r="D247" t="inlineStr">
        <is>
          <t>GÄVLEBORGS LÄN</t>
        </is>
      </c>
      <c r="E247" t="inlineStr">
        <is>
          <t>HOFORS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23545-2025</t>
        </is>
      </c>
      <c r="B248" s="1" t="n">
        <v>45792</v>
      </c>
      <c r="C248" s="1" t="n">
        <v>46174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2546-2026</t>
        </is>
      </c>
      <c r="B249" s="1" t="n">
        <v>46037.46833333333</v>
      </c>
      <c r="C249" s="1" t="n">
        <v>46174</v>
      </c>
      <c r="D249" t="inlineStr">
        <is>
          <t>GÄVLEBORGS LÄN</t>
        </is>
      </c>
      <c r="E249" t="inlineStr">
        <is>
          <t>HOFORS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2220-2026</t>
        </is>
      </c>
      <c r="B250" s="1" t="n">
        <v>46036.50115740741</v>
      </c>
      <c r="C250" s="1" t="n">
        <v>46174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26302-2025</t>
        </is>
      </c>
      <c r="B251" s="1" t="n">
        <v>45805</v>
      </c>
      <c r="C251" s="1" t="n">
        <v>46174</v>
      </c>
      <c r="D251" t="inlineStr">
        <is>
          <t>GÄVLEBORGS LÄN</t>
        </is>
      </c>
      <c r="E251" t="inlineStr">
        <is>
          <t>HOFORS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3615-2026</t>
        </is>
      </c>
      <c r="B252" s="1" t="n">
        <v>46042.94633101852</v>
      </c>
      <c r="C252" s="1" t="n">
        <v>46174</v>
      </c>
      <c r="D252" t="inlineStr">
        <is>
          <t>GÄVLEBORGS LÄN</t>
        </is>
      </c>
      <c r="E252" t="inlineStr">
        <is>
          <t>HOFORS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3614-2026</t>
        </is>
      </c>
      <c r="B253" s="1" t="n">
        <v>46042.94263888889</v>
      </c>
      <c r="C253" s="1" t="n">
        <v>46174</v>
      </c>
      <c r="D253" t="inlineStr">
        <is>
          <t>GÄVLEBORGS LÄN</t>
        </is>
      </c>
      <c r="E253" t="inlineStr">
        <is>
          <t>HOFORS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3870-2026</t>
        </is>
      </c>
      <c r="B254" s="1" t="n">
        <v>46043.64090277778</v>
      </c>
      <c r="C254" s="1" t="n">
        <v>46174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3391-2026</t>
        </is>
      </c>
      <c r="B255" s="1" t="n">
        <v>46042</v>
      </c>
      <c r="C255" s="1" t="n">
        <v>46174</v>
      </c>
      <c r="D255" t="inlineStr">
        <is>
          <t>GÄVLEBORGS LÄN</t>
        </is>
      </c>
      <c r="E255" t="inlineStr">
        <is>
          <t>HOFORS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3997-2026</t>
        </is>
      </c>
      <c r="B256" s="1" t="n">
        <v>46044</v>
      </c>
      <c r="C256" s="1" t="n">
        <v>46174</v>
      </c>
      <c r="D256" t="inlineStr">
        <is>
          <t>GÄVLEBORGS LÄN</t>
        </is>
      </c>
      <c r="E256" t="inlineStr">
        <is>
          <t>HOFORS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4101-2026</t>
        </is>
      </c>
      <c r="B257" s="1" t="n">
        <v>46044.57539351852</v>
      </c>
      <c r="C257" s="1" t="n">
        <v>46174</v>
      </c>
      <c r="D257" t="inlineStr">
        <is>
          <t>GÄVLEBORGS LÄN</t>
        </is>
      </c>
      <c r="E257" t="inlineStr">
        <is>
          <t>HOFORS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4104-2026</t>
        </is>
      </c>
      <c r="B258" s="1" t="n">
        <v>46044.58568287037</v>
      </c>
      <c r="C258" s="1" t="n">
        <v>46174</v>
      </c>
      <c r="D258" t="inlineStr">
        <is>
          <t>GÄVLEBORGS LÄN</t>
        </is>
      </c>
      <c r="E258" t="inlineStr">
        <is>
          <t>HOFORS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4419-2026</t>
        </is>
      </c>
      <c r="B259" s="1" t="n">
        <v>46045.60791666667</v>
      </c>
      <c r="C259" s="1" t="n">
        <v>46174</v>
      </c>
      <c r="D259" t="inlineStr">
        <is>
          <t>GÄVLEBORGS LÄN</t>
        </is>
      </c>
      <c r="E259" t="inlineStr">
        <is>
          <t>HOFORS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5177-2026</t>
        </is>
      </c>
      <c r="B260" s="1" t="n">
        <v>46049</v>
      </c>
      <c r="C260" s="1" t="n">
        <v>46174</v>
      </c>
      <c r="D260" t="inlineStr">
        <is>
          <t>GÄVLEBORGS LÄN</t>
        </is>
      </c>
      <c r="E260" t="inlineStr">
        <is>
          <t>HOFORS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31471-2025</t>
        </is>
      </c>
      <c r="B261" s="1" t="n">
        <v>45833.56436342592</v>
      </c>
      <c r="C261" s="1" t="n">
        <v>46174</v>
      </c>
      <c r="D261" t="inlineStr">
        <is>
          <t>GÄVLEBORGS LÄN</t>
        </is>
      </c>
      <c r="E261" t="inlineStr">
        <is>
          <t>HOFORS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4541-2026</t>
        </is>
      </c>
      <c r="B262" s="1" t="n">
        <v>46046.94703703704</v>
      </c>
      <c r="C262" s="1" t="n">
        <v>46174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5549-2026</t>
        </is>
      </c>
      <c r="B263" s="1" t="n">
        <v>46050.71560185185</v>
      </c>
      <c r="C263" s="1" t="n">
        <v>46174</v>
      </c>
      <c r="D263" t="inlineStr">
        <is>
          <t>GÄVLEBORGS LÄN</t>
        </is>
      </c>
      <c r="E263" t="inlineStr">
        <is>
          <t>HOFORS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5482-2026</t>
        </is>
      </c>
      <c r="B264" s="1" t="n">
        <v>46050.60585648148</v>
      </c>
      <c r="C264" s="1" t="n">
        <v>46174</v>
      </c>
      <c r="D264" t="inlineStr">
        <is>
          <t>GÄVLEBORGS LÄN</t>
        </is>
      </c>
      <c r="E264" t="inlineStr">
        <is>
          <t>HOFORS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32299-2025</t>
        </is>
      </c>
      <c r="B265" s="1" t="n">
        <v>45835</v>
      </c>
      <c r="C265" s="1" t="n">
        <v>46174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5872-2026</t>
        </is>
      </c>
      <c r="B266" s="1" t="n">
        <v>46052</v>
      </c>
      <c r="C266" s="1" t="n">
        <v>46174</v>
      </c>
      <c r="D266" t="inlineStr">
        <is>
          <t>GÄVLEBORGS LÄN</t>
        </is>
      </c>
      <c r="E266" t="inlineStr">
        <is>
          <t>HOFORS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7209-2026</t>
        </is>
      </c>
      <c r="B267" s="1" t="n">
        <v>46058.53673611111</v>
      </c>
      <c r="C267" s="1" t="n">
        <v>46174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7207-2026</t>
        </is>
      </c>
      <c r="B268" s="1" t="n">
        <v>46058.53497685185</v>
      </c>
      <c r="C268" s="1" t="n">
        <v>46174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14551-2026</t>
        </is>
      </c>
      <c r="B269" s="1" t="n">
        <v>46100</v>
      </c>
      <c r="C269" s="1" t="n">
        <v>46174</v>
      </c>
      <c r="D269" t="inlineStr">
        <is>
          <t>GÄVLEBORGS LÄN</t>
        </is>
      </c>
      <c r="E269" t="inlineStr">
        <is>
          <t>HOFORS</t>
        </is>
      </c>
      <c r="F269" t="inlineStr">
        <is>
          <t>Övriga statliga verk och myndigheter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7210-2026</t>
        </is>
      </c>
      <c r="B270" s="1" t="n">
        <v>46058.53807870371</v>
      </c>
      <c r="C270" s="1" t="n">
        <v>46174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7581-2026</t>
        </is>
      </c>
      <c r="B271" s="1" t="n">
        <v>46061.63856481481</v>
      </c>
      <c r="C271" s="1" t="n">
        <v>46174</v>
      </c>
      <c r="D271" t="inlineStr">
        <is>
          <t>GÄVLEBORGS LÄN</t>
        </is>
      </c>
      <c r="E271" t="inlineStr">
        <is>
          <t>HOFORS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7580-2026</t>
        </is>
      </c>
      <c r="B272" s="1" t="n">
        <v>46061.63731481481</v>
      </c>
      <c r="C272" s="1" t="n">
        <v>46174</v>
      </c>
      <c r="D272" t="inlineStr">
        <is>
          <t>GÄVLEBORGS LÄN</t>
        </is>
      </c>
      <c r="E272" t="inlineStr">
        <is>
          <t>HOFORS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8275-2026</t>
        </is>
      </c>
      <c r="B273" s="1" t="n">
        <v>46064.55445601852</v>
      </c>
      <c r="C273" s="1" t="n">
        <v>46174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8250-2026</t>
        </is>
      </c>
      <c r="B274" s="1" t="n">
        <v>46064.49732638889</v>
      </c>
      <c r="C274" s="1" t="n">
        <v>46174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8239-2026</t>
        </is>
      </c>
      <c r="B275" s="1" t="n">
        <v>46064.48892361111</v>
      </c>
      <c r="C275" s="1" t="n">
        <v>46174</v>
      </c>
      <c r="D275" t="inlineStr">
        <is>
          <t>GÄVLEBORGS LÄN</t>
        </is>
      </c>
      <c r="E275" t="inlineStr">
        <is>
          <t>HOFORS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8314-2026</t>
        </is>
      </c>
      <c r="B276" s="1" t="n">
        <v>46064.60053240741</v>
      </c>
      <c r="C276" s="1" t="n">
        <v>46174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8324-2026</t>
        </is>
      </c>
      <c r="B277" s="1" t="n">
        <v>46064</v>
      </c>
      <c r="C277" s="1" t="n">
        <v>46174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8279-2026</t>
        </is>
      </c>
      <c r="B278" s="1" t="n">
        <v>46064.55806712963</v>
      </c>
      <c r="C278" s="1" t="n">
        <v>46174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8751-2026</t>
        </is>
      </c>
      <c r="B279" s="1" t="n">
        <v>46066</v>
      </c>
      <c r="C279" s="1" t="n">
        <v>46174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8812-2026</t>
        </is>
      </c>
      <c r="B280" s="1" t="n">
        <v>46066</v>
      </c>
      <c r="C280" s="1" t="n">
        <v>46174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8748-2026</t>
        </is>
      </c>
      <c r="B281" s="1" t="n">
        <v>46066</v>
      </c>
      <c r="C281" s="1" t="n">
        <v>46174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8749-2026</t>
        </is>
      </c>
      <c r="B282" s="1" t="n">
        <v>46066</v>
      </c>
      <c r="C282" s="1" t="n">
        <v>46174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8802-2026</t>
        </is>
      </c>
      <c r="B283" s="1" t="n">
        <v>46066.59980324074</v>
      </c>
      <c r="C283" s="1" t="n">
        <v>46174</v>
      </c>
      <c r="D283" t="inlineStr">
        <is>
          <t>GÄVLEBORGS LÄN</t>
        </is>
      </c>
      <c r="E283" t="inlineStr">
        <is>
          <t>HOFORS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46174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9440-2026</t>
        </is>
      </c>
      <c r="B285" s="1" t="n">
        <v>46071.46555555556</v>
      </c>
      <c r="C285" s="1" t="n">
        <v>46174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35473-2025</t>
        </is>
      </c>
      <c r="B286" s="1" t="n">
        <v>45855.66804398148</v>
      </c>
      <c r="C286" s="1" t="n">
        <v>46174</v>
      </c>
      <c r="D286" t="inlineStr">
        <is>
          <t>GÄVLEBORGS LÄN</t>
        </is>
      </c>
      <c r="E286" t="inlineStr">
        <is>
          <t>HOFORS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35475-2025</t>
        </is>
      </c>
      <c r="B287" s="1" t="n">
        <v>45855.67001157408</v>
      </c>
      <c r="C287" s="1" t="n">
        <v>46174</v>
      </c>
      <c r="D287" t="inlineStr">
        <is>
          <t>GÄVLEBORGS LÄN</t>
        </is>
      </c>
      <c r="E287" t="inlineStr">
        <is>
          <t>HOFORS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46174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11269-2026</t>
        </is>
      </c>
      <c r="B289" s="1" t="n">
        <v>46080.57333333333</v>
      </c>
      <c r="C289" s="1" t="n">
        <v>46174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5249-2026</t>
        </is>
      </c>
      <c r="B290" s="1" t="n">
        <v>46049.90417824074</v>
      </c>
      <c r="C290" s="1" t="n">
        <v>46174</v>
      </c>
      <c r="D290" t="inlineStr">
        <is>
          <t>GÄVLEBORGS LÄN</t>
        </is>
      </c>
      <c r="E290" t="inlineStr">
        <is>
          <t>HOFORS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11277-2026</t>
        </is>
      </c>
      <c r="B291" s="1" t="n">
        <v>46080</v>
      </c>
      <c r="C291" s="1" t="n">
        <v>46174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11283-2026</t>
        </is>
      </c>
      <c r="B292" s="1" t="n">
        <v>46080</v>
      </c>
      <c r="C292" s="1" t="n">
        <v>46174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11284-2026</t>
        </is>
      </c>
      <c r="B293" s="1" t="n">
        <v>46080</v>
      </c>
      <c r="C293" s="1" t="n">
        <v>46174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36180-2025</t>
        </is>
      </c>
      <c r="B294" s="1" t="n">
        <v>45867.41327546296</v>
      </c>
      <c r="C294" s="1" t="n">
        <v>46174</v>
      </c>
      <c r="D294" t="inlineStr">
        <is>
          <t>GÄVLEBORGS LÄN</t>
        </is>
      </c>
      <c r="E294" t="inlineStr">
        <is>
          <t>HOFORS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11462-2026</t>
        </is>
      </c>
      <c r="B295" s="1" t="n">
        <v>46083.57572916667</v>
      </c>
      <c r="C295" s="1" t="n">
        <v>46174</v>
      </c>
      <c r="D295" t="inlineStr">
        <is>
          <t>GÄVLEBORGS LÄN</t>
        </is>
      </c>
      <c r="E295" t="inlineStr">
        <is>
          <t>HOFORS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36349-2025</t>
        </is>
      </c>
      <c r="B296" s="1" t="n">
        <v>45868.48269675926</v>
      </c>
      <c r="C296" s="1" t="n">
        <v>46174</v>
      </c>
      <c r="D296" t="inlineStr">
        <is>
          <t>GÄVLEBORGS LÄN</t>
        </is>
      </c>
      <c r="E296" t="inlineStr">
        <is>
          <t>HOFORS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11847-2026</t>
        </is>
      </c>
      <c r="B297" s="1" t="n">
        <v>46085.45813657407</v>
      </c>
      <c r="C297" s="1" t="n">
        <v>46174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12042-2026</t>
        </is>
      </c>
      <c r="B298" s="1" t="n">
        <v>46086.33680555555</v>
      </c>
      <c r="C298" s="1" t="n">
        <v>46174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11871-2026</t>
        </is>
      </c>
      <c r="B299" s="1" t="n">
        <v>46085</v>
      </c>
      <c r="C299" s="1" t="n">
        <v>46174</v>
      </c>
      <c r="D299" t="inlineStr">
        <is>
          <t>GÄVLEBORGS LÄN</t>
        </is>
      </c>
      <c r="E299" t="inlineStr">
        <is>
          <t>HOFORS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12803-2026</t>
        </is>
      </c>
      <c r="B300" s="1" t="n">
        <v>46092</v>
      </c>
      <c r="C300" s="1" t="n">
        <v>46174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öst AB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12924-2026</t>
        </is>
      </c>
      <c r="B301" s="1" t="n">
        <v>46092.60739583334</v>
      </c>
      <c r="C301" s="1" t="n">
        <v>46174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HYPERLINK("https://klasma.github.io/Logging_2104/knärot/A 12924-2026 karta knärot.png", "A 12924-2026")</f>
        <v/>
      </c>
      <c r="V301">
        <f>HYPERLINK("https://klasma.github.io/Logging_2104/klagomål/A 12924-2026 FSC-klagomål.docx", "A 12924-2026")</f>
        <v/>
      </c>
      <c r="W301">
        <f>HYPERLINK("https://klasma.github.io/Logging_2104/klagomålsmail/A 12924-2026 FSC-klagomål mail.docx", "A 12924-2026")</f>
        <v/>
      </c>
      <c r="X301">
        <f>HYPERLINK("https://klasma.github.io/Logging_2104/tillsyn/A 12924-2026 tillsynsbegäran.docx", "A 12924-2026")</f>
        <v/>
      </c>
      <c r="Y301">
        <f>HYPERLINK("https://klasma.github.io/Logging_2104/tillsynsmail/A 12924-2026 tillsynsbegäran mail.docx", "A 12924-2026")</f>
        <v/>
      </c>
    </row>
    <row r="302" ht="15" customHeight="1">
      <c r="A302" t="inlineStr">
        <is>
          <t>A 37444-2025</t>
        </is>
      </c>
      <c r="B302" s="1" t="n">
        <v>45877.54305555556</v>
      </c>
      <c r="C302" s="1" t="n">
        <v>46174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16681-2026</t>
        </is>
      </c>
      <c r="B303" s="1" t="n">
        <v>46112</v>
      </c>
      <c r="C303" s="1" t="n">
        <v>46174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19401-2026</t>
        </is>
      </c>
      <c r="B304" s="1" t="n">
        <v>46133.58155092593</v>
      </c>
      <c r="C304" s="1" t="n">
        <v>46174</v>
      </c>
      <c r="D304" t="inlineStr">
        <is>
          <t>GÄVLEBORGS LÄN</t>
        </is>
      </c>
      <c r="E304" t="inlineStr">
        <is>
          <t>HOFORS</t>
        </is>
      </c>
      <c r="F304" t="inlineStr">
        <is>
          <t>Bergvik skog öst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18537-2026</t>
        </is>
      </c>
      <c r="B305" s="1" t="n">
        <v>46126</v>
      </c>
      <c r="C305" s="1" t="n">
        <v>46174</v>
      </c>
      <c r="D305" t="inlineStr">
        <is>
          <t>GÄVLEBORGS LÄN</t>
        </is>
      </c>
      <c r="E305" t="inlineStr">
        <is>
          <t>HOFORS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12922-2026</t>
        </is>
      </c>
      <c r="B306" s="1" t="n">
        <v>46092.60274305556</v>
      </c>
      <c r="C306" s="1" t="n">
        <v>46174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37988-2025</t>
        </is>
      </c>
      <c r="B307" s="1" t="n">
        <v>45881.70454861111</v>
      </c>
      <c r="C307" s="1" t="n">
        <v>46174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15217-2026</t>
        </is>
      </c>
      <c r="B308" s="1" t="n">
        <v>46105.51422453704</v>
      </c>
      <c r="C308" s="1" t="n">
        <v>46174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15810-2026</t>
        </is>
      </c>
      <c r="B309" s="1" t="n">
        <v>46107</v>
      </c>
      <c r="C309" s="1" t="n">
        <v>46174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16549-2026</t>
        </is>
      </c>
      <c r="B310" s="1" t="n">
        <v>46112.51871527778</v>
      </c>
      <c r="C310" s="1" t="n">
        <v>46174</v>
      </c>
      <c r="D310" t="inlineStr">
        <is>
          <t>GÄVLEBORGS LÄN</t>
        </is>
      </c>
      <c r="E310" t="inlineStr">
        <is>
          <t>HOFORS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16555-2026</t>
        </is>
      </c>
      <c r="B311" s="1" t="n">
        <v>46112.55027777778</v>
      </c>
      <c r="C311" s="1" t="n">
        <v>46174</v>
      </c>
      <c r="D311" t="inlineStr">
        <is>
          <t>GÄVLEBORGS LÄN</t>
        </is>
      </c>
      <c r="E311" t="inlineStr">
        <is>
          <t>HOFORS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16544-2026</t>
        </is>
      </c>
      <c r="B312" s="1" t="n">
        <v>46112.50895833333</v>
      </c>
      <c r="C312" s="1" t="n">
        <v>46174</v>
      </c>
      <c r="D312" t="inlineStr">
        <is>
          <t>GÄVLEBORGS LÄN</t>
        </is>
      </c>
      <c r="E312" t="inlineStr">
        <is>
          <t>HOFORS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16888-2026</t>
        </is>
      </c>
      <c r="B313" s="1" t="n">
        <v>46113</v>
      </c>
      <c r="C313" s="1" t="n">
        <v>46174</v>
      </c>
      <c r="D313" t="inlineStr">
        <is>
          <t>GÄVLEBORGS LÄN</t>
        </is>
      </c>
      <c r="E313" t="inlineStr">
        <is>
          <t>HOFORS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16863-2026</t>
        </is>
      </c>
      <c r="B314" s="1" t="n">
        <v>46113</v>
      </c>
      <c r="C314" s="1" t="n">
        <v>46174</v>
      </c>
      <c r="D314" t="inlineStr">
        <is>
          <t>GÄVLEBORGS LÄN</t>
        </is>
      </c>
      <c r="E314" t="inlineStr">
        <is>
          <t>HOFORS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17170-2026</t>
        </is>
      </c>
      <c r="B315" s="1" t="n">
        <v>46115.7612962963</v>
      </c>
      <c r="C315" s="1" t="n">
        <v>46174</v>
      </c>
      <c r="D315" t="inlineStr">
        <is>
          <t>GÄVLEBORGS LÄN</t>
        </is>
      </c>
      <c r="E315" t="inlineStr">
        <is>
          <t>HOFORS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23326-2026</t>
        </is>
      </c>
      <c r="B316" s="1" t="n">
        <v>46162.54197916666</v>
      </c>
      <c r="C316" s="1" t="n">
        <v>46174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23334-2026</t>
        </is>
      </c>
      <c r="B317" s="1" t="n">
        <v>46162.55135416667</v>
      </c>
      <c r="C317" s="1" t="n">
        <v>46174</v>
      </c>
      <c r="D317" t="inlineStr">
        <is>
          <t>GÄVLEBORGS LÄN</t>
        </is>
      </c>
      <c r="E317" t="inlineStr">
        <is>
          <t>HOFORS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17610-2026</t>
        </is>
      </c>
      <c r="B318" s="1" t="n">
        <v>46121</v>
      </c>
      <c r="C318" s="1" t="n">
        <v>46174</v>
      </c>
      <c r="D318" t="inlineStr">
        <is>
          <t>GÄVLEBORGS LÄN</t>
        </is>
      </c>
      <c r="E318" t="inlineStr">
        <is>
          <t>HOFORS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17611-2026</t>
        </is>
      </c>
      <c r="B319" s="1" t="n">
        <v>46121</v>
      </c>
      <c r="C319" s="1" t="n">
        <v>46174</v>
      </c>
      <c r="D319" t="inlineStr">
        <is>
          <t>GÄVLEBORGS LÄN</t>
        </is>
      </c>
      <c r="E319" t="inlineStr">
        <is>
          <t>HOFORS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2026-06-01T10:52:49Z</dcterms:created>
  <dcterms:modified xmlns:dcterms="http://purl.org/dc/terms/" xmlns:xsi="http://www.w3.org/2001/XMLSchema-instance" xsi:type="dcterms:W3CDTF">2026-06-01T10:52:49Z</dcterms:modified>
</cp:coreProperties>
</file>