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46034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46034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46034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46034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46034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46034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46034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46034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46034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46034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46034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46034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48702-2025</t>
        </is>
      </c>
      <c r="B14" s="1" t="n">
        <v>45936.62197916667</v>
      </c>
      <c r="C14" s="1" t="n">
        <v>46034</v>
      </c>
      <c r="D14" t="inlineStr">
        <is>
          <t>GÄVLEBORGS LÄN</t>
        </is>
      </c>
      <c r="E14" t="inlineStr">
        <is>
          <t>HOFORS</t>
        </is>
      </c>
      <c r="G14" t="n">
        <v>4.7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48702-2025 artfynd.xlsx", "A 48702-2025")</f>
        <v/>
      </c>
      <c r="T14">
        <f>HYPERLINK("https://klasma.github.io/Logging_2104/kartor/A 48702-2025 karta.png", "A 48702-2025")</f>
        <v/>
      </c>
      <c r="U14">
        <f>HYPERLINK("https://klasma.github.io/Logging_2104/knärot/A 48702-2025 karta knärot.png", "A 48702-2025")</f>
        <v/>
      </c>
      <c r="V14">
        <f>HYPERLINK("https://klasma.github.io/Logging_2104/klagomål/A 48702-2025 FSC-klagomål.docx", "A 48702-2025")</f>
        <v/>
      </c>
      <c r="W14">
        <f>HYPERLINK("https://klasma.github.io/Logging_2104/klagomålsmail/A 48702-2025 FSC-klagomål mail.docx", "A 48702-2025")</f>
        <v/>
      </c>
      <c r="X14">
        <f>HYPERLINK("https://klasma.github.io/Logging_2104/tillsyn/A 48702-2025 tillsynsbegäran.docx", "A 48702-2025")</f>
        <v/>
      </c>
      <c r="Y14">
        <f>HYPERLINK("https://klasma.github.io/Logging_2104/tillsynsmail/A 48702-2025 tillsynsbegäran mail.docx", "A 48702-2025")</f>
        <v/>
      </c>
    </row>
    <row r="15" ht="15" customHeight="1">
      <c r="A15" t="inlineStr">
        <is>
          <t>A 54828-2021</t>
        </is>
      </c>
      <c r="B15" s="1" t="n">
        <v>44473</v>
      </c>
      <c r="C15" s="1" t="n">
        <v>46034</v>
      </c>
      <c r="D15" t="inlineStr">
        <is>
          <t>GÄVLEBORGS LÄN</t>
        </is>
      </c>
      <c r="E15" t="inlineStr">
        <is>
          <t>HOFORS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54828-2021 artfynd.xlsx", "A 54828-2021")</f>
        <v/>
      </c>
      <c r="T15">
        <f>HYPERLINK("https://klasma.github.io/Logging_2104/kartor/A 54828-2021 karta.png", "A 54828-2021")</f>
        <v/>
      </c>
      <c r="U15">
        <f>HYPERLINK("https://klasma.github.io/Logging_2104/knärot/A 54828-2021 karta knärot.png", "A 54828-2021")</f>
        <v/>
      </c>
      <c r="V15">
        <f>HYPERLINK("https://klasma.github.io/Logging_2104/klagomål/A 54828-2021 FSC-klagomål.docx", "A 54828-2021")</f>
        <v/>
      </c>
      <c r="W15">
        <f>HYPERLINK("https://klasma.github.io/Logging_2104/klagomålsmail/A 54828-2021 FSC-klagomål mail.docx", "A 54828-2021")</f>
        <v/>
      </c>
      <c r="X15">
        <f>HYPERLINK("https://klasma.github.io/Logging_2104/tillsyn/A 54828-2021 tillsynsbegäran.docx", "A 54828-2021")</f>
        <v/>
      </c>
      <c r="Y15">
        <f>HYPERLINK("https://klasma.github.io/Logging_2104/tillsynsmail/A 54828-2021 tillsynsbegäran mail.docx", "A 54828-2021")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46034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46034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27434-2025</t>
        </is>
      </c>
      <c r="B18" s="1" t="n">
        <v>45813</v>
      </c>
      <c r="C18" s="1" t="n">
        <v>46034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27434-2025 artfynd.xlsx", "A 27434-2025")</f>
        <v/>
      </c>
      <c r="T18">
        <f>HYPERLINK("https://klasma.github.io/Logging_2104/kartor/A 27434-2025 karta.png", "A 27434-2025")</f>
        <v/>
      </c>
      <c r="V18">
        <f>HYPERLINK("https://klasma.github.io/Logging_2104/klagomål/A 27434-2025 FSC-klagomål.docx", "A 27434-2025")</f>
        <v/>
      </c>
      <c r="W18">
        <f>HYPERLINK("https://klasma.github.io/Logging_2104/klagomålsmail/A 27434-2025 FSC-klagomål mail.docx", "A 27434-2025")</f>
        <v/>
      </c>
      <c r="X18">
        <f>HYPERLINK("https://klasma.github.io/Logging_2104/tillsyn/A 27434-2025 tillsynsbegäran.docx", "A 27434-2025")</f>
        <v/>
      </c>
      <c r="Y18">
        <f>HYPERLINK("https://klasma.github.io/Logging_2104/tillsynsmail/A 27434-2025 tillsynsbegäran mail.docx", "A 27434-2025")</f>
        <v/>
      </c>
    </row>
    <row r="19" ht="15" customHeight="1">
      <c r="A19" t="inlineStr">
        <is>
          <t>A 28392-2024</t>
        </is>
      </c>
      <c r="B19" s="1" t="n">
        <v>45477.60362268519</v>
      </c>
      <c r="C19" s="1" t="n">
        <v>46034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28392-2024 artfynd.xlsx", "A 28392-2024")</f>
        <v/>
      </c>
      <c r="T19">
        <f>HYPERLINK("https://klasma.github.io/Logging_2104/kartor/A 28392-2024 karta.png", "A 28392-2024")</f>
        <v/>
      </c>
      <c r="V19">
        <f>HYPERLINK("https://klasma.github.io/Logging_2104/klagomål/A 28392-2024 FSC-klagomål.docx", "A 28392-2024")</f>
        <v/>
      </c>
      <c r="W19">
        <f>HYPERLINK("https://klasma.github.io/Logging_2104/klagomålsmail/A 28392-2024 FSC-klagomål mail.docx", "A 28392-2024")</f>
        <v/>
      </c>
      <c r="X19">
        <f>HYPERLINK("https://klasma.github.io/Logging_2104/tillsyn/A 28392-2024 tillsynsbegäran.docx", "A 28392-2024")</f>
        <v/>
      </c>
      <c r="Y19">
        <f>HYPERLINK("https://klasma.github.io/Logging_2104/tillsynsmail/A 28392-2024 tillsynsbegäran mail.docx", "A 28392-2024")</f>
        <v/>
      </c>
    </row>
    <row r="20" ht="15" customHeight="1">
      <c r="A20" t="inlineStr">
        <is>
          <t>A 234-2023</t>
        </is>
      </c>
      <c r="B20" s="1" t="n">
        <v>44928.66260416667</v>
      </c>
      <c r="C20" s="1" t="n">
        <v>46034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234-2023 artfynd.xlsx", "A 234-2023")</f>
        <v/>
      </c>
      <c r="T20">
        <f>HYPERLINK("https://klasma.github.io/Logging_2104/kartor/A 234-2023 karta.png", "A 234-2023")</f>
        <v/>
      </c>
      <c r="U20">
        <f>HYPERLINK("https://klasma.github.io/Logging_2104/knärot/A 234-2023 karta knärot.png", "A 234-2023")</f>
        <v/>
      </c>
      <c r="V20">
        <f>HYPERLINK("https://klasma.github.io/Logging_2104/klagomål/A 234-2023 FSC-klagomål.docx", "A 234-2023")</f>
        <v/>
      </c>
      <c r="W20">
        <f>HYPERLINK("https://klasma.github.io/Logging_2104/klagomålsmail/A 234-2023 FSC-klagomål mail.docx", "A 234-2023")</f>
        <v/>
      </c>
      <c r="X20">
        <f>HYPERLINK("https://klasma.github.io/Logging_2104/tillsyn/A 234-2023 tillsynsbegäran.docx", "A 234-2023")</f>
        <v/>
      </c>
      <c r="Y20">
        <f>HYPERLINK("https://klasma.github.io/Logging_2104/tillsynsmail/A 234-2023 tillsynsbegäran mail.docx", "A 234-2023")</f>
        <v/>
      </c>
    </row>
    <row r="21" ht="15" customHeight="1">
      <c r="A21" t="inlineStr">
        <is>
          <t>A 48709-2025</t>
        </is>
      </c>
      <c r="B21" s="1" t="n">
        <v>45936.63020833334</v>
      </c>
      <c r="C21" s="1" t="n">
        <v>46034</v>
      </c>
      <c r="D21" t="inlineStr">
        <is>
          <t>GÄVLEBORGS LÄN</t>
        </is>
      </c>
      <c r="E21" t="inlineStr">
        <is>
          <t>HOFORS</t>
        </is>
      </c>
      <c r="G21" t="n">
        <v>2.5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48709-2025 artfynd.xlsx", "A 48709-2025")</f>
        <v/>
      </c>
      <c r="T21">
        <f>HYPERLINK("https://klasma.github.io/Logging_2104/kartor/A 48709-2025 karta.png", "A 48709-2025")</f>
        <v/>
      </c>
      <c r="U21">
        <f>HYPERLINK("https://klasma.github.io/Logging_2104/knärot/A 48709-2025 karta knärot.png", "A 48709-2025")</f>
        <v/>
      </c>
      <c r="V21">
        <f>HYPERLINK("https://klasma.github.io/Logging_2104/klagomål/A 48709-2025 FSC-klagomål.docx", "A 48709-2025")</f>
        <v/>
      </c>
      <c r="W21">
        <f>HYPERLINK("https://klasma.github.io/Logging_2104/klagomålsmail/A 48709-2025 FSC-klagomål mail.docx", "A 48709-2025")</f>
        <v/>
      </c>
      <c r="X21">
        <f>HYPERLINK("https://klasma.github.io/Logging_2104/tillsyn/A 48709-2025 tillsynsbegäran.docx", "A 48709-2025")</f>
        <v/>
      </c>
      <c r="Y21">
        <f>HYPERLINK("https://klasma.github.io/Logging_2104/tillsynsmail/A 48709-2025 tillsynsbegäran mail.docx", "A 48709-2025")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46034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43883-2025</t>
        </is>
      </c>
      <c r="B23" s="1" t="n">
        <v>45912.68892361111</v>
      </c>
      <c r="C23" s="1" t="n">
        <v>46034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HYPERLINK("https://klasma.github.io/Logging_2104/artfynd/A 43883-2025 artfynd.xlsx", "A 43883-2025")</f>
        <v/>
      </c>
      <c r="T23">
        <f>HYPERLINK("https://klasma.github.io/Logging_2104/kartor/A 43883-2025 karta.png", "A 43883-2025")</f>
        <v/>
      </c>
      <c r="V23">
        <f>HYPERLINK("https://klasma.github.io/Logging_2104/klagomål/A 43883-2025 FSC-klagomål.docx", "A 43883-2025")</f>
        <v/>
      </c>
      <c r="W23">
        <f>HYPERLINK("https://klasma.github.io/Logging_2104/klagomålsmail/A 43883-2025 FSC-klagomål mail.docx", "A 43883-2025")</f>
        <v/>
      </c>
      <c r="X23">
        <f>HYPERLINK("https://klasma.github.io/Logging_2104/tillsyn/A 43883-2025 tillsynsbegäran.docx", "A 43883-2025")</f>
        <v/>
      </c>
      <c r="Y23">
        <f>HYPERLINK("https://klasma.github.io/Logging_2104/tillsynsmail/A 43883-2025 tillsynsbegäran mail.docx", "A 43883-2025")</f>
        <v/>
      </c>
      <c r="Z23">
        <f>HYPERLINK("https://klasma.github.io/Logging_2104/fåglar/A 43883-2025 prioriterade fågelarter.docx", "A 43883-2025")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46034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46034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35743-2025</t>
        </is>
      </c>
      <c r="B26" s="1" t="n">
        <v>45860.54238425926</v>
      </c>
      <c r="C26" s="1" t="n">
        <v>46034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HYPERLINK("https://klasma.github.io/Logging_2104/artfynd/A 35743-2025 artfynd.xlsx", "A 35743-2025")</f>
        <v/>
      </c>
      <c r="T26">
        <f>HYPERLINK("https://klasma.github.io/Logging_2104/kartor/A 35743-2025 karta.png", "A 35743-2025")</f>
        <v/>
      </c>
      <c r="V26">
        <f>HYPERLINK("https://klasma.github.io/Logging_2104/klagomål/A 35743-2025 FSC-klagomål.docx", "A 35743-2025")</f>
        <v/>
      </c>
      <c r="W26">
        <f>HYPERLINK("https://klasma.github.io/Logging_2104/klagomålsmail/A 35743-2025 FSC-klagomål mail.docx", "A 35743-2025")</f>
        <v/>
      </c>
      <c r="X26">
        <f>HYPERLINK("https://klasma.github.io/Logging_2104/tillsyn/A 35743-2025 tillsynsbegäran.docx", "A 35743-2025")</f>
        <v/>
      </c>
      <c r="Y26">
        <f>HYPERLINK("https://klasma.github.io/Logging_2104/tillsynsmail/A 35743-2025 tillsynsbegäran mail.docx", "A 35743-2025")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46034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30008-2024</t>
        </is>
      </c>
      <c r="B28" s="1" t="n">
        <v>45488.6040162037</v>
      </c>
      <c r="C28" s="1" t="n">
        <v>46034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HYPERLINK("https://klasma.github.io/Logging_2104/artfynd/A 30008-2024 artfynd.xlsx", "A 30008-2024")</f>
        <v/>
      </c>
      <c r="T28">
        <f>HYPERLINK("https://klasma.github.io/Logging_2104/kartor/A 30008-2024 karta.png", "A 30008-2024")</f>
        <v/>
      </c>
      <c r="V28">
        <f>HYPERLINK("https://klasma.github.io/Logging_2104/klagomål/A 30008-2024 FSC-klagomål.docx", "A 30008-2024")</f>
        <v/>
      </c>
      <c r="W28">
        <f>HYPERLINK("https://klasma.github.io/Logging_2104/klagomålsmail/A 30008-2024 FSC-klagomål mail.docx", "A 30008-2024")</f>
        <v/>
      </c>
      <c r="X28">
        <f>HYPERLINK("https://klasma.github.io/Logging_2104/tillsyn/A 30008-2024 tillsynsbegäran.docx", "A 30008-2024")</f>
        <v/>
      </c>
      <c r="Y28">
        <f>HYPERLINK("https://klasma.github.io/Logging_2104/tillsynsmail/A 30008-2024 tillsynsbegäran mail.docx", "A 30008-2024")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46034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46034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46058-2025</t>
        </is>
      </c>
      <c r="B31" s="1" t="n">
        <v>45924</v>
      </c>
      <c r="C31" s="1" t="n">
        <v>46034</v>
      </c>
      <c r="D31" t="inlineStr">
        <is>
          <t>GÄVLEBORGS LÄN</t>
        </is>
      </c>
      <c r="E31" t="inlineStr">
        <is>
          <t>HOFORS</t>
        </is>
      </c>
      <c r="F31" t="inlineStr">
        <is>
          <t>Övriga statliga verk och myndigheter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HYPERLINK("https://klasma.github.io/Logging_2104/artfynd/A 46058-2025 artfynd.xlsx", "A 46058-2025")</f>
        <v/>
      </c>
      <c r="T31">
        <f>HYPERLINK("https://klasma.github.io/Logging_2104/kartor/A 46058-2025 karta.png", "A 46058-2025")</f>
        <v/>
      </c>
      <c r="V31">
        <f>HYPERLINK("https://klasma.github.io/Logging_2104/klagomål/A 46058-2025 FSC-klagomål.docx", "A 46058-2025")</f>
        <v/>
      </c>
      <c r="W31">
        <f>HYPERLINK("https://klasma.github.io/Logging_2104/klagomålsmail/A 46058-2025 FSC-klagomål mail.docx", "A 46058-2025")</f>
        <v/>
      </c>
      <c r="X31">
        <f>HYPERLINK("https://klasma.github.io/Logging_2104/tillsyn/A 46058-2025 tillsynsbegäran.docx", "A 46058-2025")</f>
        <v/>
      </c>
      <c r="Y31">
        <f>HYPERLINK("https://klasma.github.io/Logging_2104/tillsynsmail/A 46058-2025 tillsynsbegäran mail.docx", "A 46058-2025")</f>
        <v/>
      </c>
    </row>
    <row r="32" ht="15" customHeight="1">
      <c r="A32" t="inlineStr">
        <is>
          <t>A 186-2026</t>
        </is>
      </c>
      <c r="B32" s="1" t="n">
        <v>46025.54315972222</v>
      </c>
      <c r="C32" s="1" t="n">
        <v>46034</v>
      </c>
      <c r="D32" t="inlineStr">
        <is>
          <t>GÄVLEBORGS LÄN</t>
        </is>
      </c>
      <c r="E32" t="inlineStr">
        <is>
          <t>HOFORS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186-2026 artfynd.xlsx", "A 186-2026")</f>
        <v/>
      </c>
      <c r="T32">
        <f>HYPERLINK("https://klasma.github.io/Logging_2104/kartor/A 186-2026 karta.png", "A 186-2026")</f>
        <v/>
      </c>
      <c r="U32">
        <f>HYPERLINK("https://klasma.github.io/Logging_2104/knärot/A 186-2026 karta knärot.png", "A 186-2026")</f>
        <v/>
      </c>
      <c r="V32">
        <f>HYPERLINK("https://klasma.github.io/Logging_2104/klagomål/A 186-2026 FSC-klagomål.docx", "A 186-2026")</f>
        <v/>
      </c>
      <c r="W32">
        <f>HYPERLINK("https://klasma.github.io/Logging_2104/klagomålsmail/A 186-2026 FSC-klagomål mail.docx", "A 186-2026")</f>
        <v/>
      </c>
      <c r="X32">
        <f>HYPERLINK("https://klasma.github.io/Logging_2104/tillsyn/A 186-2026 tillsynsbegäran.docx", "A 186-2026")</f>
        <v/>
      </c>
      <c r="Y32">
        <f>HYPERLINK("https://klasma.github.io/Logging_2104/tillsynsmail/A 186-2026 tillsynsbegäran mail.docx", "A 186-2026")</f>
        <v/>
      </c>
    </row>
    <row r="33" ht="15" customHeight="1">
      <c r="A33" t="inlineStr">
        <is>
          <t>A 687-2026</t>
        </is>
      </c>
      <c r="B33" s="1" t="n">
        <v>46029.60758101852</v>
      </c>
      <c r="C33" s="1" t="n">
        <v>46034</v>
      </c>
      <c r="D33" t="inlineStr">
        <is>
          <t>GÄVLEBORGS LÄN</t>
        </is>
      </c>
      <c r="E33" t="inlineStr">
        <is>
          <t>HOFORS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687-2026 artfynd.xlsx", "A 687-2026")</f>
        <v/>
      </c>
      <c r="T33">
        <f>HYPERLINK("https://klasma.github.io/Logging_2104/kartor/A 687-2026 karta.png", "A 687-2026")</f>
        <v/>
      </c>
      <c r="V33">
        <f>HYPERLINK("https://klasma.github.io/Logging_2104/klagomål/A 687-2026 FSC-klagomål.docx", "A 687-2026")</f>
        <v/>
      </c>
      <c r="W33">
        <f>HYPERLINK("https://klasma.github.io/Logging_2104/klagomålsmail/A 687-2026 FSC-klagomål mail.docx", "A 687-2026")</f>
        <v/>
      </c>
      <c r="X33">
        <f>HYPERLINK("https://klasma.github.io/Logging_2104/tillsyn/A 687-2026 tillsynsbegäran.docx", "A 687-2026")</f>
        <v/>
      </c>
      <c r="Y33">
        <f>HYPERLINK("https://klasma.github.io/Logging_2104/tillsynsmail/A 687-2026 tillsynsbegäran mail.docx", "A 687-2026")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46034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33298-2023</t>
        </is>
      </c>
      <c r="B35" s="1" t="n">
        <v>45127</v>
      </c>
      <c r="C35" s="1" t="n">
        <v>46034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HYPERLINK("https://klasma.github.io/Logging_2104/artfynd/A 33298-2023 artfynd.xlsx", "A 33298-2023")</f>
        <v/>
      </c>
      <c r="T35">
        <f>HYPERLINK("https://klasma.github.io/Logging_2104/kartor/A 33298-2023 karta.png", "A 33298-2023")</f>
        <v/>
      </c>
      <c r="V35">
        <f>HYPERLINK("https://klasma.github.io/Logging_2104/klagomål/A 33298-2023 FSC-klagomål.docx", "A 33298-2023")</f>
        <v/>
      </c>
      <c r="W35">
        <f>HYPERLINK("https://klasma.github.io/Logging_2104/klagomålsmail/A 33298-2023 FSC-klagomål mail.docx", "A 33298-2023")</f>
        <v/>
      </c>
      <c r="X35">
        <f>HYPERLINK("https://klasma.github.io/Logging_2104/tillsyn/A 33298-2023 tillsynsbegäran.docx", "A 33298-2023")</f>
        <v/>
      </c>
      <c r="Y35">
        <f>HYPERLINK("https://klasma.github.io/Logging_2104/tillsynsmail/A 33298-2023 tillsynsbegäran mail.docx", "A 33298-2023")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46034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46034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46034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47219-2024</t>
        </is>
      </c>
      <c r="B39" s="1" t="n">
        <v>45586</v>
      </c>
      <c r="C39" s="1" t="n">
        <v>46034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HYPERLINK("https://klasma.github.io/Logging_2104/artfynd/A 47219-2024 artfynd.xlsx", "A 47219-2024")</f>
        <v/>
      </c>
      <c r="T39">
        <f>HYPERLINK("https://klasma.github.io/Logging_2104/kartor/A 47219-2024 karta.png", "A 47219-2024")</f>
        <v/>
      </c>
      <c r="V39">
        <f>HYPERLINK("https://klasma.github.io/Logging_2104/klagomål/A 47219-2024 FSC-klagomål.docx", "A 47219-2024")</f>
        <v/>
      </c>
      <c r="W39">
        <f>HYPERLINK("https://klasma.github.io/Logging_2104/klagomålsmail/A 47219-2024 FSC-klagomål mail.docx", "A 47219-2024")</f>
        <v/>
      </c>
      <c r="X39">
        <f>HYPERLINK("https://klasma.github.io/Logging_2104/tillsyn/A 47219-2024 tillsynsbegäran.docx", "A 47219-2024")</f>
        <v/>
      </c>
      <c r="Y39">
        <f>HYPERLINK("https://klasma.github.io/Logging_2104/tillsynsmail/A 47219-2024 tillsynsbegäran mail.docx", "A 47219-2024")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46034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46034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46034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46034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46034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46034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46034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46034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46034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46034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46034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46034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46034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46034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46034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46034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46034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6929-2023</t>
        </is>
      </c>
      <c r="B57" s="1" t="n">
        <v>44967</v>
      </c>
      <c r="C57" s="1" t="n">
        <v>46034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33979-2024</t>
        </is>
      </c>
      <c r="B58" s="1" t="n">
        <v>45523.51896990741</v>
      </c>
      <c r="C58" s="1" t="n">
        <v>46034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1144-2024</t>
        </is>
      </c>
      <c r="B59" s="1" t="n">
        <v>45302.49138888889</v>
      </c>
      <c r="C59" s="1" t="n">
        <v>46034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21340-2025</t>
        </is>
      </c>
      <c r="B60" s="1" t="n">
        <v>45782.38909722222</v>
      </c>
      <c r="C60" s="1" t="n">
        <v>46034</v>
      </c>
      <c r="D60" t="inlineStr">
        <is>
          <t>GÄVLEBORGS LÄN</t>
        </is>
      </c>
      <c r="E60" t="inlineStr">
        <is>
          <t>HOFORS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46034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46034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51225-2025</t>
        </is>
      </c>
      <c r="B63" s="1" t="n">
        <v>45947.65599537037</v>
      </c>
      <c r="C63" s="1" t="n">
        <v>46034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11813-2024</t>
        </is>
      </c>
      <c r="B64" s="1" t="n">
        <v>45376.30138888889</v>
      </c>
      <c r="C64" s="1" t="n">
        <v>46034</v>
      </c>
      <c r="D64" t="inlineStr">
        <is>
          <t>GÄVLEBORGS LÄN</t>
        </is>
      </c>
      <c r="E64" t="inlineStr">
        <is>
          <t>HOFORS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5554-2024</t>
        </is>
      </c>
      <c r="B65" s="1" t="n">
        <v>45334</v>
      </c>
      <c r="C65" s="1" t="n">
        <v>46034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38746-2025</t>
        </is>
      </c>
      <c r="B66" s="1" t="n">
        <v>45887.37974537037</v>
      </c>
      <c r="C66" s="1" t="n">
        <v>46034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38741-2025</t>
        </is>
      </c>
      <c r="B67" s="1" t="n">
        <v>45887.37405092592</v>
      </c>
      <c r="C67" s="1" t="n">
        <v>46034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38486-2025</t>
        </is>
      </c>
      <c r="B68" s="1" t="n">
        <v>45884.34282407408</v>
      </c>
      <c r="C68" s="1" t="n">
        <v>46034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38744-2025</t>
        </is>
      </c>
      <c r="B69" s="1" t="n">
        <v>45887.37774305556</v>
      </c>
      <c r="C69" s="1" t="n">
        <v>46034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22844-2025</t>
        </is>
      </c>
      <c r="B70" s="1" t="n">
        <v>45790.32160879629</v>
      </c>
      <c r="C70" s="1" t="n">
        <v>46034</v>
      </c>
      <c r="D70" t="inlineStr">
        <is>
          <t>GÄVLEBORGS LÄN</t>
        </is>
      </c>
      <c r="E70" t="inlineStr">
        <is>
          <t>HOFORS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23666-2025</t>
        </is>
      </c>
      <c r="B71" s="1" t="n">
        <v>45792.84364583333</v>
      </c>
      <c r="C71" s="1" t="n">
        <v>46034</v>
      </c>
      <c r="D71" t="inlineStr">
        <is>
          <t>GÄVLEBORGS LÄN</t>
        </is>
      </c>
      <c r="E71" t="inlineStr">
        <is>
          <t>HOFORS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40407-2025</t>
        </is>
      </c>
      <c r="B72" s="1" t="n">
        <v>45895.57083333333</v>
      </c>
      <c r="C72" s="1" t="n">
        <v>46034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24395-2025</t>
        </is>
      </c>
      <c r="B73" s="1" t="n">
        <v>45797.63881944444</v>
      </c>
      <c r="C73" s="1" t="n">
        <v>46034</v>
      </c>
      <c r="D73" t="inlineStr">
        <is>
          <t>GÄVLEBORGS LÄN</t>
        </is>
      </c>
      <c r="E73" t="inlineStr">
        <is>
          <t>HOFORS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10740-2025</t>
        </is>
      </c>
      <c r="B74" s="1" t="n">
        <v>45722.41008101852</v>
      </c>
      <c r="C74" s="1" t="n">
        <v>46034</v>
      </c>
      <c r="D74" t="inlineStr">
        <is>
          <t>GÄVLEBORGS LÄN</t>
        </is>
      </c>
      <c r="E74" t="inlineStr">
        <is>
          <t>HOFORS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28391-2024</t>
        </is>
      </c>
      <c r="B75" s="1" t="n">
        <v>45477.60254629629</v>
      </c>
      <c r="C75" s="1" t="n">
        <v>46034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33981-2024</t>
        </is>
      </c>
      <c r="B76" s="1" t="n">
        <v>45523.52111111111</v>
      </c>
      <c r="C76" s="1" t="n">
        <v>46034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59615-2023</t>
        </is>
      </c>
      <c r="B77" s="1" t="n">
        <v>45254</v>
      </c>
      <c r="C77" s="1" t="n">
        <v>46034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58369-2023</t>
        </is>
      </c>
      <c r="B78" s="1" t="n">
        <v>45250</v>
      </c>
      <c r="C78" s="1" t="n">
        <v>46034</v>
      </c>
      <c r="D78" t="inlineStr">
        <is>
          <t>GÄVLEBORGS LÄN</t>
        </is>
      </c>
      <c r="E78" t="inlineStr">
        <is>
          <t>HOFORS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41569-2025</t>
        </is>
      </c>
      <c r="B79" s="1" t="n">
        <v>45901.60810185185</v>
      </c>
      <c r="C79" s="1" t="n">
        <v>46034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53517-2024</t>
        </is>
      </c>
      <c r="B80" s="1" t="n">
        <v>45614.60436342593</v>
      </c>
      <c r="C80" s="1" t="n">
        <v>46034</v>
      </c>
      <c r="D80" t="inlineStr">
        <is>
          <t>GÄVLEBORGS LÄN</t>
        </is>
      </c>
      <c r="E80" t="inlineStr">
        <is>
          <t>HOFORS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41620-2025</t>
        </is>
      </c>
      <c r="B81" s="1" t="n">
        <v>45901.70319444445</v>
      </c>
      <c r="C81" s="1" t="n">
        <v>46034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4032-2025</t>
        </is>
      </c>
      <c r="B82" s="1" t="n">
        <v>45684</v>
      </c>
      <c r="C82" s="1" t="n">
        <v>46034</v>
      </c>
      <c r="D82" t="inlineStr">
        <is>
          <t>GÄVLEBORGS LÄN</t>
        </is>
      </c>
      <c r="E82" t="inlineStr">
        <is>
          <t>HOFORS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33296-2023</t>
        </is>
      </c>
      <c r="B83" s="1" t="n">
        <v>45127.69603009259</v>
      </c>
      <c r="C83" s="1" t="n">
        <v>46034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25476-2024</t>
        </is>
      </c>
      <c r="B84" s="1" t="n">
        <v>45463.44922453703</v>
      </c>
      <c r="C84" s="1" t="n">
        <v>46034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51337-2023</t>
        </is>
      </c>
      <c r="B85" s="1" t="n">
        <v>45219.59144675926</v>
      </c>
      <c r="C85" s="1" t="n">
        <v>46034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26753-2025</t>
        </is>
      </c>
      <c r="B86" s="1" t="n">
        <v>45810.55490740741</v>
      </c>
      <c r="C86" s="1" t="n">
        <v>46034</v>
      </c>
      <c r="D86" t="inlineStr">
        <is>
          <t>GÄVLEBORGS LÄN</t>
        </is>
      </c>
      <c r="E86" t="inlineStr">
        <is>
          <t>HOFORS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54149-2023</t>
        </is>
      </c>
      <c r="B87" s="1" t="n">
        <v>45232.4528125</v>
      </c>
      <c r="C87" s="1" t="n">
        <v>46034</v>
      </c>
      <c r="D87" t="inlineStr">
        <is>
          <t>GÄVLEBORGS LÄN</t>
        </is>
      </c>
      <c r="E87" t="inlineStr">
        <is>
          <t>HOFORS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37743-2022</t>
        </is>
      </c>
      <c r="B88" s="1" t="n">
        <v>44810.58275462963</v>
      </c>
      <c r="C88" s="1" t="n">
        <v>46034</v>
      </c>
      <c r="D88" t="inlineStr">
        <is>
          <t>GÄVLEBORGS LÄN</t>
        </is>
      </c>
      <c r="E88" t="inlineStr">
        <is>
          <t>HOFORS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27431-2025</t>
        </is>
      </c>
      <c r="B89" s="1" t="n">
        <v>45813</v>
      </c>
      <c r="C89" s="1" t="n">
        <v>46034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27436-2025</t>
        </is>
      </c>
      <c r="B90" s="1" t="n">
        <v>45813</v>
      </c>
      <c r="C90" s="1" t="n">
        <v>46034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27438-2025</t>
        </is>
      </c>
      <c r="B91" s="1" t="n">
        <v>45813.3143287037</v>
      </c>
      <c r="C91" s="1" t="n">
        <v>46034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27432-2025</t>
        </is>
      </c>
      <c r="B92" s="1" t="n">
        <v>45813</v>
      </c>
      <c r="C92" s="1" t="n">
        <v>46034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27441-2025</t>
        </is>
      </c>
      <c r="B93" s="1" t="n">
        <v>45813.31630787037</v>
      </c>
      <c r="C93" s="1" t="n">
        <v>46034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44694-2025</t>
        </is>
      </c>
      <c r="B94" s="1" t="n">
        <v>45917.59674768519</v>
      </c>
      <c r="C94" s="1" t="n">
        <v>46034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44692-2025</t>
        </is>
      </c>
      <c r="B95" s="1" t="n">
        <v>45917.59540509259</v>
      </c>
      <c r="C95" s="1" t="n">
        <v>46034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23545-2025</t>
        </is>
      </c>
      <c r="B96" s="1" t="n">
        <v>45792</v>
      </c>
      <c r="C96" s="1" t="n">
        <v>46034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58240-2021</t>
        </is>
      </c>
      <c r="B97" s="1" t="n">
        <v>44487.88978009259</v>
      </c>
      <c r="C97" s="1" t="n">
        <v>46034</v>
      </c>
      <c r="D97" t="inlineStr">
        <is>
          <t>GÄVLEBORGS LÄN</t>
        </is>
      </c>
      <c r="E97" t="inlineStr">
        <is>
          <t>HOFORS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26302-2025</t>
        </is>
      </c>
      <c r="B98" s="1" t="n">
        <v>45805</v>
      </c>
      <c r="C98" s="1" t="n">
        <v>46034</v>
      </c>
      <c r="D98" t="inlineStr">
        <is>
          <t>GÄVLEBORGS LÄN</t>
        </is>
      </c>
      <c r="E98" t="inlineStr">
        <is>
          <t>HOFORS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43730-2023</t>
        </is>
      </c>
      <c r="B99" s="1" t="n">
        <v>45187</v>
      </c>
      <c r="C99" s="1" t="n">
        <v>46034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47524-2024</t>
        </is>
      </c>
      <c r="B100" s="1" t="n">
        <v>45587.63166666667</v>
      </c>
      <c r="C100" s="1" t="n">
        <v>46034</v>
      </c>
      <c r="D100" t="inlineStr">
        <is>
          <t>GÄVLEBORGS LÄN</t>
        </is>
      </c>
      <c r="E100" t="inlineStr">
        <is>
          <t>HOFORS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13471-2024</t>
        </is>
      </c>
      <c r="B101" s="1" t="n">
        <v>45387.57859953704</v>
      </c>
      <c r="C101" s="1" t="n">
        <v>46034</v>
      </c>
      <c r="D101" t="inlineStr">
        <is>
          <t>GÄVLEBORGS LÄN</t>
        </is>
      </c>
      <c r="E101" t="inlineStr">
        <is>
          <t>HOFORS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47091-2025</t>
        </is>
      </c>
      <c r="B102" s="1" t="n">
        <v>45929.65052083333</v>
      </c>
      <c r="C102" s="1" t="n">
        <v>46034</v>
      </c>
      <c r="D102" t="inlineStr">
        <is>
          <t>GÄVLEBORGS LÄN</t>
        </is>
      </c>
      <c r="E102" t="inlineStr">
        <is>
          <t>HOFORS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47097-2025</t>
        </is>
      </c>
      <c r="B103" s="1" t="n">
        <v>45929.65541666667</v>
      </c>
      <c r="C103" s="1" t="n">
        <v>46034</v>
      </c>
      <c r="D103" t="inlineStr">
        <is>
          <t>GÄVLEBORGS LÄN</t>
        </is>
      </c>
      <c r="E103" t="inlineStr">
        <is>
          <t>HOFORS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40393-2025</t>
        </is>
      </c>
      <c r="B104" s="1" t="n">
        <v>45895.55646990741</v>
      </c>
      <c r="C104" s="1" t="n">
        <v>46034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11953-2025</t>
        </is>
      </c>
      <c r="B105" s="1" t="n">
        <v>45728.56366898148</v>
      </c>
      <c r="C105" s="1" t="n">
        <v>46034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34.8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47249-2025</t>
        </is>
      </c>
      <c r="B106" s="1" t="n">
        <v>45930.43439814815</v>
      </c>
      <c r="C106" s="1" t="n">
        <v>46034</v>
      </c>
      <c r="D106" t="inlineStr">
        <is>
          <t>GÄVLEBORGS LÄN</t>
        </is>
      </c>
      <c r="E106" t="inlineStr">
        <is>
          <t>HOFORS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40401-2025</t>
        </is>
      </c>
      <c r="B107" s="1" t="n">
        <v>45895.56739583334</v>
      </c>
      <c r="C107" s="1" t="n">
        <v>46034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31471-2025</t>
        </is>
      </c>
      <c r="B108" s="1" t="n">
        <v>45833.56436342592</v>
      </c>
      <c r="C108" s="1" t="n">
        <v>46034</v>
      </c>
      <c r="D108" t="inlineStr">
        <is>
          <t>GÄVLEBORGS LÄN</t>
        </is>
      </c>
      <c r="E108" t="inlineStr">
        <is>
          <t>HOFORS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47469-2025</t>
        </is>
      </c>
      <c r="B109" s="1" t="n">
        <v>45930.67037037037</v>
      </c>
      <c r="C109" s="1" t="n">
        <v>46034</v>
      </c>
      <c r="D109" t="inlineStr">
        <is>
          <t>GÄVLEBORGS LÄN</t>
        </is>
      </c>
      <c r="E109" t="inlineStr">
        <is>
          <t>HOFORS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27738-2024</t>
        </is>
      </c>
      <c r="B110" s="1" t="n">
        <v>45475.45108796296</v>
      </c>
      <c r="C110" s="1" t="n">
        <v>46034</v>
      </c>
      <c r="D110" t="inlineStr">
        <is>
          <t>GÄVLEBORGS LÄN</t>
        </is>
      </c>
      <c r="E110" t="inlineStr">
        <is>
          <t>HOFORS</t>
        </is>
      </c>
      <c r="F110" t="inlineStr">
        <is>
          <t>Bergvik skog öst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48232-2025</t>
        </is>
      </c>
      <c r="B111" s="1" t="n">
        <v>45933.53054398148</v>
      </c>
      <c r="C111" s="1" t="n">
        <v>46034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48242-2025</t>
        </is>
      </c>
      <c r="B112" s="1" t="n">
        <v>45933.53510416667</v>
      </c>
      <c r="C112" s="1" t="n">
        <v>46034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37680-2022</t>
        </is>
      </c>
      <c r="B113" s="1" t="n">
        <v>44810</v>
      </c>
      <c r="C113" s="1" t="n">
        <v>46034</v>
      </c>
      <c r="D113" t="inlineStr">
        <is>
          <t>GÄVLEBORGS LÄN</t>
        </is>
      </c>
      <c r="E113" t="inlineStr">
        <is>
          <t>HOFORS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27959-2025</t>
        </is>
      </c>
      <c r="B114" s="1" t="n">
        <v>45816</v>
      </c>
      <c r="C114" s="1" t="n">
        <v>46034</v>
      </c>
      <c r="D114" t="inlineStr">
        <is>
          <t>GÄVLEBORGS LÄN</t>
        </is>
      </c>
      <c r="E114" t="inlineStr">
        <is>
          <t>HOFORS</t>
        </is>
      </c>
      <c r="F114" t="inlineStr">
        <is>
          <t>Bergvik skog väst AB</t>
        </is>
      </c>
      <c r="G114" t="n">
        <v>45.6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32299-2025</t>
        </is>
      </c>
      <c r="B115" s="1" t="n">
        <v>45835</v>
      </c>
      <c r="C115" s="1" t="n">
        <v>46034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väst AB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48240-2025</t>
        </is>
      </c>
      <c r="B116" s="1" t="n">
        <v>45933.53292824074</v>
      </c>
      <c r="C116" s="1" t="n">
        <v>46034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48241-2025</t>
        </is>
      </c>
      <c r="B117" s="1" t="n">
        <v>45933.53391203703</v>
      </c>
      <c r="C117" s="1" t="n">
        <v>46034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48252-2025</t>
        </is>
      </c>
      <c r="B118" s="1" t="n">
        <v>45933.55329861111</v>
      </c>
      <c r="C118" s="1" t="n">
        <v>46034</v>
      </c>
      <c r="D118" t="inlineStr">
        <is>
          <t>GÄVLEBORGS LÄN</t>
        </is>
      </c>
      <c r="E118" t="inlineStr">
        <is>
          <t>HOFORS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52693-2025</t>
        </is>
      </c>
      <c r="B119" s="1" t="n">
        <v>45956.58960648148</v>
      </c>
      <c r="C119" s="1" t="n">
        <v>46034</v>
      </c>
      <c r="D119" t="inlineStr">
        <is>
          <t>GÄVLEBORGS LÄN</t>
        </is>
      </c>
      <c r="E119" t="inlineStr">
        <is>
          <t>HOFORS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48231-2025</t>
        </is>
      </c>
      <c r="B120" s="1" t="n">
        <v>45933.52594907407</v>
      </c>
      <c r="C120" s="1" t="n">
        <v>46034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48612-2025</t>
        </is>
      </c>
      <c r="B121" s="1" t="n">
        <v>45935</v>
      </c>
      <c r="C121" s="1" t="n">
        <v>46034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59130-2024</t>
        </is>
      </c>
      <c r="B122" s="1" t="n">
        <v>45637</v>
      </c>
      <c r="C122" s="1" t="n">
        <v>46034</v>
      </c>
      <c r="D122" t="inlineStr">
        <is>
          <t>GÄVLEBORGS LÄN</t>
        </is>
      </c>
      <c r="E122" t="inlineStr">
        <is>
          <t>HOFORS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57632-2021</t>
        </is>
      </c>
      <c r="B123" s="1" t="n">
        <v>44484.39166666667</v>
      </c>
      <c r="C123" s="1" t="n">
        <v>46034</v>
      </c>
      <c r="D123" t="inlineStr">
        <is>
          <t>GÄVLEBORGS LÄN</t>
        </is>
      </c>
      <c r="E123" t="inlineStr">
        <is>
          <t>HOFORS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58373-2023</t>
        </is>
      </c>
      <c r="B124" s="1" t="n">
        <v>45250.65805555556</v>
      </c>
      <c r="C124" s="1" t="n">
        <v>46034</v>
      </c>
      <c r="D124" t="inlineStr">
        <is>
          <t>GÄVLEBORGS LÄN</t>
        </is>
      </c>
      <c r="E124" t="inlineStr">
        <is>
          <t>HOFORS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41020-2023</t>
        </is>
      </c>
      <c r="B125" s="1" t="n">
        <v>45173.59236111111</v>
      </c>
      <c r="C125" s="1" t="n">
        <v>46034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48609-2025</t>
        </is>
      </c>
      <c r="B126" s="1" t="n">
        <v>45935</v>
      </c>
      <c r="C126" s="1" t="n">
        <v>46034</v>
      </c>
      <c r="D126" t="inlineStr">
        <is>
          <t>GÄVLEBORGS LÄN</t>
        </is>
      </c>
      <c r="E126" t="inlineStr">
        <is>
          <t>HOFORS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43885-2025</t>
        </is>
      </c>
      <c r="B127" s="1" t="n">
        <v>45912.69076388889</v>
      </c>
      <c r="C127" s="1" t="n">
        <v>46034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43887-2025</t>
        </is>
      </c>
      <c r="B128" s="1" t="n">
        <v>45912.69278935185</v>
      </c>
      <c r="C128" s="1" t="n">
        <v>46034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45965-2025</t>
        </is>
      </c>
      <c r="B129" s="1" t="n">
        <v>45924.35655092593</v>
      </c>
      <c r="C129" s="1" t="n">
        <v>46034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44356-2023</t>
        </is>
      </c>
      <c r="B130" s="1" t="n">
        <v>45188.81979166667</v>
      </c>
      <c r="C130" s="1" t="n">
        <v>46034</v>
      </c>
      <c r="D130" t="inlineStr">
        <is>
          <t>GÄVLEBORGS LÄN</t>
        </is>
      </c>
      <c r="E130" t="inlineStr">
        <is>
          <t>HOFORS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23355-2024</t>
        </is>
      </c>
      <c r="B131" s="1" t="n">
        <v>45453</v>
      </c>
      <c r="C131" s="1" t="n">
        <v>46034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13744-2023</t>
        </is>
      </c>
      <c r="B132" s="1" t="n">
        <v>45007</v>
      </c>
      <c r="C132" s="1" t="n">
        <v>46034</v>
      </c>
      <c r="D132" t="inlineStr">
        <is>
          <t>GÄVLEBORGS LÄN</t>
        </is>
      </c>
      <c r="E132" t="inlineStr">
        <is>
          <t>HOFORS</t>
        </is>
      </c>
      <c r="F132" t="inlineStr">
        <is>
          <t>Övriga statliga verk och myndigheter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8510-2023</t>
        </is>
      </c>
      <c r="B133" s="1" t="n">
        <v>44977.56144675926</v>
      </c>
      <c r="C133" s="1" t="n">
        <v>46034</v>
      </c>
      <c r="D133" t="inlineStr">
        <is>
          <t>GÄVLEBORGS LÄN</t>
        </is>
      </c>
      <c r="E133" t="inlineStr">
        <is>
          <t>HOFORS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35473-2025</t>
        </is>
      </c>
      <c r="B134" s="1" t="n">
        <v>45855.66804398148</v>
      </c>
      <c r="C134" s="1" t="n">
        <v>46034</v>
      </c>
      <c r="D134" t="inlineStr">
        <is>
          <t>GÄVLEBORGS LÄN</t>
        </is>
      </c>
      <c r="E134" t="inlineStr">
        <is>
          <t>HOFORS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35475-2025</t>
        </is>
      </c>
      <c r="B135" s="1" t="n">
        <v>45855.67001157408</v>
      </c>
      <c r="C135" s="1" t="n">
        <v>46034</v>
      </c>
      <c r="D135" t="inlineStr">
        <is>
          <t>GÄVLEBORGS LÄN</t>
        </is>
      </c>
      <c r="E135" t="inlineStr">
        <is>
          <t>HOFORS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22129-2023</t>
        </is>
      </c>
      <c r="B136" s="1" t="n">
        <v>45069</v>
      </c>
      <c r="C136" s="1" t="n">
        <v>46034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61186-2025</t>
        </is>
      </c>
      <c r="B137" s="1" t="n">
        <v>46000.58625</v>
      </c>
      <c r="C137" s="1" t="n">
        <v>46034</v>
      </c>
      <c r="D137" t="inlineStr">
        <is>
          <t>GÄVLEBORGS LÄN</t>
        </is>
      </c>
      <c r="E137" t="inlineStr">
        <is>
          <t>HOFORS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25477-2024</t>
        </is>
      </c>
      <c r="B138" s="1" t="n">
        <v>45463.45015046297</v>
      </c>
      <c r="C138" s="1" t="n">
        <v>46034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46034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36180-2025</t>
        </is>
      </c>
      <c r="B140" s="1" t="n">
        <v>45867.41327546296</v>
      </c>
      <c r="C140" s="1" t="n">
        <v>46034</v>
      </c>
      <c r="D140" t="inlineStr">
        <is>
          <t>GÄVLEBORGS LÄN</t>
        </is>
      </c>
      <c r="E140" t="inlineStr">
        <is>
          <t>HOFORS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36349-2025</t>
        </is>
      </c>
      <c r="B141" s="1" t="n">
        <v>45868.48269675926</v>
      </c>
      <c r="C141" s="1" t="n">
        <v>46034</v>
      </c>
      <c r="D141" t="inlineStr">
        <is>
          <t>GÄVLEBORGS LÄN</t>
        </is>
      </c>
      <c r="E141" t="inlineStr">
        <is>
          <t>HOFORS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47495-2024</t>
        </is>
      </c>
      <c r="B142" s="1" t="n">
        <v>45587.59559027778</v>
      </c>
      <c r="C142" s="1" t="n">
        <v>46034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30007-2024</t>
        </is>
      </c>
      <c r="B143" s="1" t="n">
        <v>45488.60150462963</v>
      </c>
      <c r="C143" s="1" t="n">
        <v>46034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30009-2024</t>
        </is>
      </c>
      <c r="B144" s="1" t="n">
        <v>45488.60546296297</v>
      </c>
      <c r="C144" s="1" t="n">
        <v>46034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54578-2024</t>
        </is>
      </c>
      <c r="B145" s="1" t="n">
        <v>45617.65644675926</v>
      </c>
      <c r="C145" s="1" t="n">
        <v>46034</v>
      </c>
      <c r="D145" t="inlineStr">
        <is>
          <t>GÄVLEBORGS LÄN</t>
        </is>
      </c>
      <c r="E145" t="inlineStr">
        <is>
          <t>HOFORS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49815-2024</t>
        </is>
      </c>
      <c r="B146" s="1" t="n">
        <v>45597.39709490741</v>
      </c>
      <c r="C146" s="1" t="n">
        <v>46034</v>
      </c>
      <c r="D146" t="inlineStr">
        <is>
          <t>GÄVLEBORGS LÄN</t>
        </is>
      </c>
      <c r="E146" t="inlineStr">
        <is>
          <t>HOFORS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37763-2023</t>
        </is>
      </c>
      <c r="B147" s="1" t="n">
        <v>45156</v>
      </c>
      <c r="C147" s="1" t="n">
        <v>46034</v>
      </c>
      <c r="D147" t="inlineStr">
        <is>
          <t>GÄVLEBORGS LÄN</t>
        </is>
      </c>
      <c r="E147" t="inlineStr">
        <is>
          <t>HOFORS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37444-2025</t>
        </is>
      </c>
      <c r="B148" s="1" t="n">
        <v>45877.54305555556</v>
      </c>
      <c r="C148" s="1" t="n">
        <v>46034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35505-2024</t>
        </is>
      </c>
      <c r="B149" s="1" t="n">
        <v>45531.53869212963</v>
      </c>
      <c r="C149" s="1" t="n">
        <v>46034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35514-2024</t>
        </is>
      </c>
      <c r="B150" s="1" t="n">
        <v>45531.56472222223</v>
      </c>
      <c r="C150" s="1" t="n">
        <v>46034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37988-2025</t>
        </is>
      </c>
      <c r="B151" s="1" t="n">
        <v>45881.70454861111</v>
      </c>
      <c r="C151" s="1" t="n">
        <v>46034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30229-2024</t>
        </is>
      </c>
      <c r="B152" s="1" t="n">
        <v>45490.46946759259</v>
      </c>
      <c r="C152" s="1" t="n">
        <v>46034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61642-2025</t>
        </is>
      </c>
      <c r="B153" s="1" t="n">
        <v>46002.43494212963</v>
      </c>
      <c r="C153" s="1" t="n">
        <v>46034</v>
      </c>
      <c r="D153" t="inlineStr">
        <is>
          <t>GÄVLEBORGS LÄN</t>
        </is>
      </c>
      <c r="E153" t="inlineStr">
        <is>
          <t>HOFORS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2612-2025</t>
        </is>
      </c>
      <c r="B154" s="1" t="n">
        <v>45674</v>
      </c>
      <c r="C154" s="1" t="n">
        <v>46034</v>
      </c>
      <c r="D154" t="inlineStr">
        <is>
          <t>GÄVLEBORGS LÄN</t>
        </is>
      </c>
      <c r="E154" t="inlineStr">
        <is>
          <t>HOFORS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23376-2024</t>
        </is>
      </c>
      <c r="B155" s="1" t="n">
        <v>45453</v>
      </c>
      <c r="C155" s="1" t="n">
        <v>46034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58955-2023</t>
        </is>
      </c>
      <c r="B156" s="1" t="n">
        <v>45252</v>
      </c>
      <c r="C156" s="1" t="n">
        <v>46034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6963-2024</t>
        </is>
      </c>
      <c r="B157" s="1" t="n">
        <v>45343.4562037037</v>
      </c>
      <c r="C157" s="1" t="n">
        <v>46034</v>
      </c>
      <c r="D157" t="inlineStr">
        <is>
          <t>GÄVLEBORGS LÄN</t>
        </is>
      </c>
      <c r="E157" t="inlineStr">
        <is>
          <t>HOFORS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54876-2025</t>
        </is>
      </c>
      <c r="B158" s="1" t="n">
        <v>45967.31611111111</v>
      </c>
      <c r="C158" s="1" t="n">
        <v>46034</v>
      </c>
      <c r="D158" t="inlineStr">
        <is>
          <t>GÄVLEBORGS LÄN</t>
        </is>
      </c>
      <c r="E158" t="inlineStr">
        <is>
          <t>HOFORS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54877-2025</t>
        </is>
      </c>
      <c r="B159" s="1" t="n">
        <v>45967.31960648148</v>
      </c>
      <c r="C159" s="1" t="n">
        <v>46034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54874-2025</t>
        </is>
      </c>
      <c r="B160" s="1" t="n">
        <v>45967.30939814815</v>
      </c>
      <c r="C160" s="1" t="n">
        <v>46034</v>
      </c>
      <c r="D160" t="inlineStr">
        <is>
          <t>GÄVLEBORGS LÄN</t>
        </is>
      </c>
      <c r="E160" t="inlineStr">
        <is>
          <t>HOFORS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54827-2025</t>
        </is>
      </c>
      <c r="B161" s="1" t="n">
        <v>45966.66925925926</v>
      </c>
      <c r="C161" s="1" t="n">
        <v>46034</v>
      </c>
      <c r="D161" t="inlineStr">
        <is>
          <t>GÄVLEBORGS LÄN</t>
        </is>
      </c>
      <c r="E161" t="inlineStr">
        <is>
          <t>HOFORS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55288-2025</t>
        </is>
      </c>
      <c r="B162" s="1" t="n">
        <v>45969.33444444444</v>
      </c>
      <c r="C162" s="1" t="n">
        <v>46034</v>
      </c>
      <c r="D162" t="inlineStr">
        <is>
          <t>GÄVLEBORGS LÄN</t>
        </is>
      </c>
      <c r="E162" t="inlineStr">
        <is>
          <t>HOFORS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10587-2022</t>
        </is>
      </c>
      <c r="B163" s="1" t="n">
        <v>44624</v>
      </c>
      <c r="C163" s="1" t="n">
        <v>46034</v>
      </c>
      <c r="D163" t="inlineStr">
        <is>
          <t>GÄVLEBORGS LÄN</t>
        </is>
      </c>
      <c r="E163" t="inlineStr">
        <is>
          <t>HOFORS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55287-2025</t>
        </is>
      </c>
      <c r="B164" s="1" t="n">
        <v>45969.30730324074</v>
      </c>
      <c r="C164" s="1" t="n">
        <v>46034</v>
      </c>
      <c r="D164" t="inlineStr">
        <is>
          <t>GÄVLEBORGS LÄN</t>
        </is>
      </c>
      <c r="E164" t="inlineStr">
        <is>
          <t>HOFORS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31123-2021</t>
        </is>
      </c>
      <c r="B165" s="1" t="n">
        <v>44368</v>
      </c>
      <c r="C165" s="1" t="n">
        <v>46034</v>
      </c>
      <c r="D165" t="inlineStr">
        <is>
          <t>GÄVLEBORGS LÄN</t>
        </is>
      </c>
      <c r="E165" t="inlineStr">
        <is>
          <t>HOFORS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36763-2024</t>
        </is>
      </c>
      <c r="B166" s="1" t="n">
        <v>45538.36181712963</v>
      </c>
      <c r="C166" s="1" t="n">
        <v>46034</v>
      </c>
      <c r="D166" t="inlineStr">
        <is>
          <t>GÄVLEBORGS LÄN</t>
        </is>
      </c>
      <c r="E166" t="inlineStr">
        <is>
          <t>HOFORS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21027-2024</t>
        </is>
      </c>
      <c r="B167" s="1" t="n">
        <v>45439</v>
      </c>
      <c r="C167" s="1" t="n">
        <v>46034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21028-2024</t>
        </is>
      </c>
      <c r="B168" s="1" t="n">
        <v>45439</v>
      </c>
      <c r="C168" s="1" t="n">
        <v>46034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16371-2022</t>
        </is>
      </c>
      <c r="B169" s="1" t="n">
        <v>44671</v>
      </c>
      <c r="C169" s="1" t="n">
        <v>46034</v>
      </c>
      <c r="D169" t="inlineStr">
        <is>
          <t>GÄVLEBORGS LÄN</t>
        </is>
      </c>
      <c r="E169" t="inlineStr">
        <is>
          <t>HOFORS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57751-2024</t>
        </is>
      </c>
      <c r="B170" s="1" t="n">
        <v>45630.82424768519</v>
      </c>
      <c r="C170" s="1" t="n">
        <v>46034</v>
      </c>
      <c r="D170" t="inlineStr">
        <is>
          <t>GÄVLEBORGS LÄN</t>
        </is>
      </c>
      <c r="E170" t="inlineStr">
        <is>
          <t>HOFORS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57596-2025</t>
        </is>
      </c>
      <c r="B171" s="1" t="n">
        <v>45980.9716087963</v>
      </c>
      <c r="C171" s="1" t="n">
        <v>46034</v>
      </c>
      <c r="D171" t="inlineStr">
        <is>
          <t>GÄVLEBORGS LÄN</t>
        </is>
      </c>
      <c r="E171" t="inlineStr">
        <is>
          <t>HOFORS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57593-2025</t>
        </is>
      </c>
      <c r="B172" s="1" t="n">
        <v>45980.96055555555</v>
      </c>
      <c r="C172" s="1" t="n">
        <v>46034</v>
      </c>
      <c r="D172" t="inlineStr">
        <is>
          <t>GÄVLEBORGS LÄN</t>
        </is>
      </c>
      <c r="E172" t="inlineStr">
        <is>
          <t>HOFORS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57595-2025</t>
        </is>
      </c>
      <c r="B173" s="1" t="n">
        <v>45980.97019675926</v>
      </c>
      <c r="C173" s="1" t="n">
        <v>46034</v>
      </c>
      <c r="D173" t="inlineStr">
        <is>
          <t>GÄVLEBORGS LÄN</t>
        </is>
      </c>
      <c r="E173" t="inlineStr">
        <is>
          <t>HOFORS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57594-2025</t>
        </is>
      </c>
      <c r="B174" s="1" t="n">
        <v>45980.96221064815</v>
      </c>
      <c r="C174" s="1" t="n">
        <v>46034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2915-2025</t>
        </is>
      </c>
      <c r="B175" s="1" t="n">
        <v>45677.96424768519</v>
      </c>
      <c r="C175" s="1" t="n">
        <v>46034</v>
      </c>
      <c r="D175" t="inlineStr">
        <is>
          <t>GÄVLEBORGS LÄN</t>
        </is>
      </c>
      <c r="E175" t="inlineStr">
        <is>
          <t>HOFORS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32980-2023</t>
        </is>
      </c>
      <c r="B176" s="1" t="n">
        <v>45125.59980324074</v>
      </c>
      <c r="C176" s="1" t="n">
        <v>46034</v>
      </c>
      <c r="D176" t="inlineStr">
        <is>
          <t>GÄVLEBORGS LÄN</t>
        </is>
      </c>
      <c r="E176" t="inlineStr">
        <is>
          <t>HOFORS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57400-2024</t>
        </is>
      </c>
      <c r="B177" s="1" t="n">
        <v>45629.71085648148</v>
      </c>
      <c r="C177" s="1" t="n">
        <v>46034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58324-2025</t>
        </is>
      </c>
      <c r="B178" s="1" t="n">
        <v>45985.47690972222</v>
      </c>
      <c r="C178" s="1" t="n">
        <v>46034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341-2026</t>
        </is>
      </c>
      <c r="B179" s="1" t="n">
        <v>46027.60730324074</v>
      </c>
      <c r="C179" s="1" t="n">
        <v>46034</v>
      </c>
      <c r="D179" t="inlineStr">
        <is>
          <t>GÄVLEBORGS LÄN</t>
        </is>
      </c>
      <c r="E179" t="inlineStr">
        <is>
          <t>HOFORS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129-2026</t>
        </is>
      </c>
      <c r="B180" s="1" t="n">
        <v>46024.59600694444</v>
      </c>
      <c r="C180" s="1" t="n">
        <v>46034</v>
      </c>
      <c r="D180" t="inlineStr">
        <is>
          <t>GÄVLEBORGS LÄN</t>
        </is>
      </c>
      <c r="E180" t="inlineStr">
        <is>
          <t>HOFORS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58008-2025</t>
        </is>
      </c>
      <c r="B181" s="1" t="n">
        <v>45982.45744212963</v>
      </c>
      <c r="C181" s="1" t="n">
        <v>46034</v>
      </c>
      <c r="D181" t="inlineStr">
        <is>
          <t>GÄVLEBORGS LÄN</t>
        </is>
      </c>
      <c r="E181" t="inlineStr">
        <is>
          <t>HOFORS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62596-2023</t>
        </is>
      </c>
      <c r="B182" s="1" t="n">
        <v>45271</v>
      </c>
      <c r="C182" s="1" t="n">
        <v>46034</v>
      </c>
      <c r="D182" t="inlineStr">
        <is>
          <t>GÄVLEBORGS LÄN</t>
        </is>
      </c>
      <c r="E182" t="inlineStr">
        <is>
          <t>HOFORS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25474-2024</t>
        </is>
      </c>
      <c r="B183" s="1" t="n">
        <v>45463.44631944445</v>
      </c>
      <c r="C183" s="1" t="n">
        <v>46034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8448-2025</t>
        </is>
      </c>
      <c r="B184" s="1" t="n">
        <v>45709</v>
      </c>
      <c r="C184" s="1" t="n">
        <v>46034</v>
      </c>
      <c r="D184" t="inlineStr">
        <is>
          <t>GÄVLEBORGS LÄN</t>
        </is>
      </c>
      <c r="E184" t="inlineStr">
        <is>
          <t>HOFORS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64000-2025</t>
        </is>
      </c>
      <c r="B185" s="1" t="n">
        <v>46021.39847222222</v>
      </c>
      <c r="C185" s="1" t="n">
        <v>46034</v>
      </c>
      <c r="D185" t="inlineStr">
        <is>
          <t>GÄVLEBORGS LÄN</t>
        </is>
      </c>
      <c r="E185" t="inlineStr">
        <is>
          <t>HOFORS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64036-2025</t>
        </is>
      </c>
      <c r="B186" s="1" t="n">
        <v>46021.52502314815</v>
      </c>
      <c r="C186" s="1" t="n">
        <v>46034</v>
      </c>
      <c r="D186" t="inlineStr">
        <is>
          <t>GÄVLEBORGS LÄN</t>
        </is>
      </c>
      <c r="E186" t="inlineStr">
        <is>
          <t>HOFORS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47493-2024</t>
        </is>
      </c>
      <c r="B187" s="1" t="n">
        <v>45587.59410879629</v>
      </c>
      <c r="C187" s="1" t="n">
        <v>46034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681-2026</t>
        </is>
      </c>
      <c r="B188" s="1" t="n">
        <v>46029.60314814815</v>
      </c>
      <c r="C188" s="1" t="n">
        <v>46034</v>
      </c>
      <c r="D188" t="inlineStr">
        <is>
          <t>GÄVLEBORGS LÄN</t>
        </is>
      </c>
      <c r="E188" t="inlineStr">
        <is>
          <t>HOFORS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688-2026</t>
        </is>
      </c>
      <c r="B189" s="1" t="n">
        <v>46029.6090625</v>
      </c>
      <c r="C189" s="1" t="n">
        <v>46034</v>
      </c>
      <c r="D189" t="inlineStr">
        <is>
          <t>GÄVLEBORGS LÄN</t>
        </is>
      </c>
      <c r="E189" t="inlineStr">
        <is>
          <t>HOFORS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692-2026</t>
        </is>
      </c>
      <c r="B190" s="1" t="n">
        <v>46029.61185185185</v>
      </c>
      <c r="C190" s="1" t="n">
        <v>46034</v>
      </c>
      <c r="D190" t="inlineStr">
        <is>
          <t>GÄVLEBORGS LÄN</t>
        </is>
      </c>
      <c r="E190" t="inlineStr">
        <is>
          <t>HOFORS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659-2026</t>
        </is>
      </c>
      <c r="B191" s="1" t="n">
        <v>46029.58206018519</v>
      </c>
      <c r="C191" s="1" t="n">
        <v>46034</v>
      </c>
      <c r="D191" t="inlineStr">
        <is>
          <t>GÄVLEBORGS LÄN</t>
        </is>
      </c>
      <c r="E191" t="inlineStr">
        <is>
          <t>HOFORS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58633-2025</t>
        </is>
      </c>
      <c r="B192" s="1" t="n">
        <v>45986.48885416667</v>
      </c>
      <c r="C192" s="1" t="n">
        <v>46034</v>
      </c>
      <c r="D192" t="inlineStr">
        <is>
          <t>GÄVLEBORGS LÄN</t>
        </is>
      </c>
      <c r="E192" t="inlineStr">
        <is>
          <t>HOFORS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683-2026</t>
        </is>
      </c>
      <c r="B193" s="1" t="n">
        <v>46029.60453703703</v>
      </c>
      <c r="C193" s="1" t="n">
        <v>46034</v>
      </c>
      <c r="D193" t="inlineStr">
        <is>
          <t>GÄVLEBORGS LÄN</t>
        </is>
      </c>
      <c r="E193" t="inlineStr">
        <is>
          <t>HOFORS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10161-2023</t>
        </is>
      </c>
      <c r="B194" s="1" t="n">
        <v>44986</v>
      </c>
      <c r="C194" s="1" t="n">
        <v>46034</v>
      </c>
      <c r="D194" t="inlineStr">
        <is>
          <t>GÄVLEBORGS LÄN</t>
        </is>
      </c>
      <c r="E194" t="inlineStr">
        <is>
          <t>HOFORS</t>
        </is>
      </c>
      <c r="F194" t="inlineStr">
        <is>
          <t>Övriga statliga verk och myndigheter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58805-2025</t>
        </is>
      </c>
      <c r="B195" s="1" t="n">
        <v>45986.9652662037</v>
      </c>
      <c r="C195" s="1" t="n">
        <v>46034</v>
      </c>
      <c r="D195" t="inlineStr">
        <is>
          <t>GÄVLEBORGS LÄN</t>
        </is>
      </c>
      <c r="E195" t="inlineStr">
        <is>
          <t>HOFORS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802-2026</t>
        </is>
      </c>
      <c r="B196" s="1" t="n">
        <v>46030.25229166666</v>
      </c>
      <c r="C196" s="1" t="n">
        <v>46034</v>
      </c>
      <c r="D196" t="inlineStr">
        <is>
          <t>GÄVLEBORGS LÄN</t>
        </is>
      </c>
      <c r="E196" t="inlineStr">
        <is>
          <t>HOFORS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837-2026</t>
        </is>
      </c>
      <c r="B197" s="1" t="n">
        <v>46030.3752662037</v>
      </c>
      <c r="C197" s="1" t="n">
        <v>46034</v>
      </c>
      <c r="D197" t="inlineStr">
        <is>
          <t>GÄVLEBORGS LÄN</t>
        </is>
      </c>
      <c r="E197" t="inlineStr">
        <is>
          <t>HOFORS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892-2026</t>
        </is>
      </c>
      <c r="B198" s="1" t="n">
        <v>46030.45260416667</v>
      </c>
      <c r="C198" s="1" t="n">
        <v>46034</v>
      </c>
      <c r="D198" t="inlineStr">
        <is>
          <t>GÄVLEBORGS LÄN</t>
        </is>
      </c>
      <c r="E198" t="inlineStr">
        <is>
          <t>HOFORS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34232-2023</t>
        </is>
      </c>
      <c r="B199" s="1" t="n">
        <v>45127</v>
      </c>
      <c r="C199" s="1" t="n">
        <v>46034</v>
      </c>
      <c r="D199" t="inlineStr">
        <is>
          <t>GÄVLEBORGS LÄN</t>
        </is>
      </c>
      <c r="E199" t="inlineStr">
        <is>
          <t>HOFORS</t>
        </is>
      </c>
      <c r="F199" t="inlineStr">
        <is>
          <t>Bergvik skog väst AB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5557-2021</t>
        </is>
      </c>
      <c r="B200" s="1" t="n">
        <v>44230</v>
      </c>
      <c r="C200" s="1" t="n">
        <v>46034</v>
      </c>
      <c r="D200" t="inlineStr">
        <is>
          <t>GÄVLEBORGS LÄN</t>
        </is>
      </c>
      <c r="E200" t="inlineStr">
        <is>
          <t>HOFORS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22226-2024</t>
        </is>
      </c>
      <c r="B201" s="1" t="n">
        <v>45446.4203587963</v>
      </c>
      <c r="C201" s="1" t="n">
        <v>46034</v>
      </c>
      <c r="D201" t="inlineStr">
        <is>
          <t>GÄVLEBORGS LÄN</t>
        </is>
      </c>
      <c r="E201" t="inlineStr">
        <is>
          <t>HOFORS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37693-2023</t>
        </is>
      </c>
      <c r="B202" s="1" t="n">
        <v>45159.57056712963</v>
      </c>
      <c r="C202" s="1" t="n">
        <v>46034</v>
      </c>
      <c r="D202" t="inlineStr">
        <is>
          <t>GÄVLEBORGS LÄN</t>
        </is>
      </c>
      <c r="E202" t="inlineStr">
        <is>
          <t>HOFORS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48063-2024</t>
        </is>
      </c>
      <c r="B203" s="1" t="n">
        <v>45589.55237268518</v>
      </c>
      <c r="C203" s="1" t="n">
        <v>46034</v>
      </c>
      <c r="D203" t="inlineStr">
        <is>
          <t>GÄVLEBORGS LÄN</t>
        </is>
      </c>
      <c r="E203" t="inlineStr">
        <is>
          <t>HOFORS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17762-2022</t>
        </is>
      </c>
      <c r="B204" s="1" t="n">
        <v>44680</v>
      </c>
      <c r="C204" s="1" t="n">
        <v>46034</v>
      </c>
      <c r="D204" t="inlineStr">
        <is>
          <t>GÄVLEBORGS LÄN</t>
        </is>
      </c>
      <c r="E204" t="inlineStr">
        <is>
          <t>HOFORS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51277-2022</t>
        </is>
      </c>
      <c r="B205" s="1" t="n">
        <v>44868.7127662037</v>
      </c>
      <c r="C205" s="1" t="n">
        <v>46034</v>
      </c>
      <c r="D205" t="inlineStr">
        <is>
          <t>GÄVLEBORGS LÄN</t>
        </is>
      </c>
      <c r="E205" t="inlineStr">
        <is>
          <t>HOFORS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13745-2023</t>
        </is>
      </c>
      <c r="B206" s="1" t="n">
        <v>45007</v>
      </c>
      <c r="C206" s="1" t="n">
        <v>46034</v>
      </c>
      <c r="D206" t="inlineStr">
        <is>
          <t>GÄVLEBORGS LÄN</t>
        </is>
      </c>
      <c r="E206" t="inlineStr">
        <is>
          <t>HOFORS</t>
        </is>
      </c>
      <c r="F206" t="inlineStr">
        <is>
          <t>Övriga statliga verk och myndigheter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14119-2025</t>
        </is>
      </c>
      <c r="B207" s="1" t="n">
        <v>45740.4659837963</v>
      </c>
      <c r="C207" s="1" t="n">
        <v>46034</v>
      </c>
      <c r="D207" t="inlineStr">
        <is>
          <t>GÄVLEBORGS LÄN</t>
        </is>
      </c>
      <c r="E207" t="inlineStr">
        <is>
          <t>HOFORS</t>
        </is>
      </c>
      <c r="F207" t="inlineStr">
        <is>
          <t>Bergvik skog öst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25465-2024</t>
        </is>
      </c>
      <c r="B208" s="1" t="n">
        <v>45463.43416666667</v>
      </c>
      <c r="C208" s="1" t="n">
        <v>46034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35114-2023</t>
        </is>
      </c>
      <c r="B209" s="1" t="n">
        <v>45145</v>
      </c>
      <c r="C209" s="1" t="n">
        <v>46034</v>
      </c>
      <c r="D209" t="inlineStr">
        <is>
          <t>GÄVLEBORGS LÄN</t>
        </is>
      </c>
      <c r="E209" t="inlineStr">
        <is>
          <t>HOFORS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35136-2023</t>
        </is>
      </c>
      <c r="B210" s="1" t="n">
        <v>45145.52915509259</v>
      </c>
      <c r="C210" s="1" t="n">
        <v>46034</v>
      </c>
      <c r="D210" t="inlineStr">
        <is>
          <t>GÄVLEBORGS LÄN</t>
        </is>
      </c>
      <c r="E210" t="inlineStr">
        <is>
          <t>HOFORS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38251-2022</t>
        </is>
      </c>
      <c r="B211" s="1" t="n">
        <v>44812.4874537037</v>
      </c>
      <c r="C211" s="1" t="n">
        <v>46034</v>
      </c>
      <c r="D211" t="inlineStr">
        <is>
          <t>GÄVLEBORGS LÄN</t>
        </is>
      </c>
      <c r="E211" t="inlineStr">
        <is>
          <t>HOFORS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31607-2023</t>
        </is>
      </c>
      <c r="B212" s="1" t="n">
        <v>45117</v>
      </c>
      <c r="C212" s="1" t="n">
        <v>46034</v>
      </c>
      <c r="D212" t="inlineStr">
        <is>
          <t>GÄVLEBORGS LÄN</t>
        </is>
      </c>
      <c r="E212" t="inlineStr">
        <is>
          <t>HOFORS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31611-2023</t>
        </is>
      </c>
      <c r="B213" s="1" t="n">
        <v>45117</v>
      </c>
      <c r="C213" s="1" t="n">
        <v>46034</v>
      </c>
      <c r="D213" t="inlineStr">
        <is>
          <t>GÄVLEBORGS LÄN</t>
        </is>
      </c>
      <c r="E213" t="inlineStr">
        <is>
          <t>HOFORS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36278-2024</t>
        </is>
      </c>
      <c r="B214" s="1" t="n">
        <v>45534.58508101852</v>
      </c>
      <c r="C214" s="1" t="n">
        <v>46034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33495-2023</t>
        </is>
      </c>
      <c r="B215" s="1" t="n">
        <v>45118</v>
      </c>
      <c r="C215" s="1" t="n">
        <v>46034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väst AB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43143-2024</t>
        </is>
      </c>
      <c r="B216" s="1" t="n">
        <v>45567.62359953704</v>
      </c>
      <c r="C216" s="1" t="n">
        <v>46034</v>
      </c>
      <c r="D216" t="inlineStr">
        <is>
          <t>GÄVLEBORGS LÄN</t>
        </is>
      </c>
      <c r="E216" t="inlineStr">
        <is>
          <t>HOFORS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47359-2024</t>
        </is>
      </c>
      <c r="B217" s="1" t="n">
        <v>45587.43547453704</v>
      </c>
      <c r="C217" s="1" t="n">
        <v>46034</v>
      </c>
      <c r="D217" t="inlineStr">
        <is>
          <t>GÄVLEBORGS LÄN</t>
        </is>
      </c>
      <c r="E217" t="inlineStr">
        <is>
          <t>HOFORS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31645-2024</t>
        </is>
      </c>
      <c r="B218" s="1" t="n">
        <v>45506.60777777778</v>
      </c>
      <c r="C218" s="1" t="n">
        <v>46034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64359-2023</t>
        </is>
      </c>
      <c r="B219" s="1" t="n">
        <v>45280</v>
      </c>
      <c r="C219" s="1" t="n">
        <v>46034</v>
      </c>
      <c r="D219" t="inlineStr">
        <is>
          <t>GÄVLEBORGS LÄN</t>
        </is>
      </c>
      <c r="E219" t="inlineStr">
        <is>
          <t>HOFORS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58787-2021</t>
        </is>
      </c>
      <c r="B220" s="1" t="n">
        <v>44489.56234953704</v>
      </c>
      <c r="C220" s="1" t="n">
        <v>46034</v>
      </c>
      <c r="D220" t="inlineStr">
        <is>
          <t>GÄVLEBORGS LÄN</t>
        </is>
      </c>
      <c r="E220" t="inlineStr">
        <is>
          <t>HOFORS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24988-2023</t>
        </is>
      </c>
      <c r="B221" s="1" t="n">
        <v>45085.64087962963</v>
      </c>
      <c r="C221" s="1" t="n">
        <v>46034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13473-2024</t>
        </is>
      </c>
      <c r="B222" s="1" t="n">
        <v>45387.5827662037</v>
      </c>
      <c r="C222" s="1" t="n">
        <v>46034</v>
      </c>
      <c r="D222" t="inlineStr">
        <is>
          <t>GÄVLEBORGS LÄN</t>
        </is>
      </c>
      <c r="E222" t="inlineStr">
        <is>
          <t>HOFORS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28133-2024</t>
        </is>
      </c>
      <c r="B223" s="1" t="n">
        <v>45476.69053240741</v>
      </c>
      <c r="C223" s="1" t="n">
        <v>46034</v>
      </c>
      <c r="D223" t="inlineStr">
        <is>
          <t>GÄVLEBORGS LÄN</t>
        </is>
      </c>
      <c r="E223" t="inlineStr">
        <is>
          <t>HOFORS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12057-2021</t>
        </is>
      </c>
      <c r="B224" s="1" t="n">
        <v>44266</v>
      </c>
      <c r="C224" s="1" t="n">
        <v>46034</v>
      </c>
      <c r="D224" t="inlineStr">
        <is>
          <t>GÄVLEBORGS LÄN</t>
        </is>
      </c>
      <c r="E224" t="inlineStr">
        <is>
          <t>HOFORS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37744-2022</t>
        </is>
      </c>
      <c r="B225" s="1" t="n">
        <v>44810.58422453704</v>
      </c>
      <c r="C225" s="1" t="n">
        <v>46034</v>
      </c>
      <c r="D225" t="inlineStr">
        <is>
          <t>GÄVLEBORGS LÄN</t>
        </is>
      </c>
      <c r="E225" t="inlineStr">
        <is>
          <t>HOFORS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10184-2022</t>
        </is>
      </c>
      <c r="B226" s="1" t="n">
        <v>44622</v>
      </c>
      <c r="C226" s="1" t="n">
        <v>46034</v>
      </c>
      <c r="D226" t="inlineStr">
        <is>
          <t>GÄVLEBORGS LÄN</t>
        </is>
      </c>
      <c r="E226" t="inlineStr">
        <is>
          <t>HOFORS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10602-2022</t>
        </is>
      </c>
      <c r="B227" s="1" t="n">
        <v>44624</v>
      </c>
      <c r="C227" s="1" t="n">
        <v>46034</v>
      </c>
      <c r="D227" t="inlineStr">
        <is>
          <t>GÄVLEBORGS LÄN</t>
        </is>
      </c>
      <c r="E227" t="inlineStr">
        <is>
          <t>HOFORS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47531-2021</t>
        </is>
      </c>
      <c r="B228" s="1" t="n">
        <v>44447</v>
      </c>
      <c r="C228" s="1" t="n">
        <v>46034</v>
      </c>
      <c r="D228" t="inlineStr">
        <is>
          <t>GÄVLEBORGS LÄN</t>
        </is>
      </c>
      <c r="E228" t="inlineStr">
        <is>
          <t>HOFORS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33734-2024</t>
        </is>
      </c>
      <c r="B229" s="1" t="n">
        <v>45520</v>
      </c>
      <c r="C229" s="1" t="n">
        <v>46034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11607-2023</t>
        </is>
      </c>
      <c r="B230" s="1" t="n">
        <v>44994</v>
      </c>
      <c r="C230" s="1" t="n">
        <v>46034</v>
      </c>
      <c r="D230" t="inlineStr">
        <is>
          <t>GÄVLEBORGS LÄN</t>
        </is>
      </c>
      <c r="E230" t="inlineStr">
        <is>
          <t>HOFORS</t>
        </is>
      </c>
      <c r="F230" t="inlineStr">
        <is>
          <t>Övriga statliga verk och myndigheter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43726-2023</t>
        </is>
      </c>
      <c r="B231" s="1" t="n">
        <v>45187</v>
      </c>
      <c r="C231" s="1" t="n">
        <v>46034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35504-2024</t>
        </is>
      </c>
      <c r="B232" s="1" t="n">
        <v>45531.53686342593</v>
      </c>
      <c r="C232" s="1" t="n">
        <v>46034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68079-2021</t>
        </is>
      </c>
      <c r="B233" s="1" t="n">
        <v>44526.31943287037</v>
      </c>
      <c r="C233" s="1" t="n">
        <v>46034</v>
      </c>
      <c r="D233" t="inlineStr">
        <is>
          <t>GÄVLEBORGS LÄN</t>
        </is>
      </c>
      <c r="E233" t="inlineStr">
        <is>
          <t>HOFORS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6958-2024</t>
        </is>
      </c>
      <c r="B234" s="1" t="n">
        <v>45343</v>
      </c>
      <c r="C234" s="1" t="n">
        <v>46034</v>
      </c>
      <c r="D234" t="inlineStr">
        <is>
          <t>GÄVLEBORGS LÄN</t>
        </is>
      </c>
      <c r="E234" t="inlineStr">
        <is>
          <t>HOFORS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54826-2021</t>
        </is>
      </c>
      <c r="B235" s="1" t="n">
        <v>44473</v>
      </c>
      <c r="C235" s="1" t="n">
        <v>46034</v>
      </c>
      <c r="D235" t="inlineStr">
        <is>
          <t>GÄVLEBORGS LÄN</t>
        </is>
      </c>
      <c r="E235" t="inlineStr">
        <is>
          <t>HOFORS</t>
        </is>
      </c>
      <c r="F235" t="inlineStr">
        <is>
          <t>Bergvik skog väst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33710-2024</t>
        </is>
      </c>
      <c r="B236" s="1" t="n">
        <v>45520</v>
      </c>
      <c r="C236" s="1" t="n">
        <v>46034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17185-2025</t>
        </is>
      </c>
      <c r="B237" s="1" t="n">
        <v>45755</v>
      </c>
      <c r="C237" s="1" t="n">
        <v>46034</v>
      </c>
      <c r="D237" t="inlineStr">
        <is>
          <t>GÄVLEBORGS LÄN</t>
        </is>
      </c>
      <c r="E237" t="inlineStr">
        <is>
          <t>HOFORS</t>
        </is>
      </c>
      <c r="F237" t="inlineStr">
        <is>
          <t>Bergvik skog väst AB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47639-2021</t>
        </is>
      </c>
      <c r="B238" s="1" t="n">
        <v>44448.3966087963</v>
      </c>
      <c r="C238" s="1" t="n">
        <v>46034</v>
      </c>
      <c r="D238" t="inlineStr">
        <is>
          <t>GÄVLEBORGS LÄN</t>
        </is>
      </c>
      <c r="E238" t="inlineStr">
        <is>
          <t>HOFORS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32827-2024</t>
        </is>
      </c>
      <c r="B239" s="1" t="n">
        <v>45516.59273148148</v>
      </c>
      <c r="C239" s="1" t="n">
        <v>46034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1149-2024</t>
        </is>
      </c>
      <c r="B240" s="1" t="n">
        <v>45302.49834490741</v>
      </c>
      <c r="C240" s="1" t="n">
        <v>46034</v>
      </c>
      <c r="D240" t="inlineStr">
        <is>
          <t>GÄVLEBORGS LÄN</t>
        </is>
      </c>
      <c r="E240" t="inlineStr">
        <is>
          <t>HOFORS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18347-2025</t>
        </is>
      </c>
      <c r="B241" s="1" t="n">
        <v>45762.52913194444</v>
      </c>
      <c r="C241" s="1" t="n">
        <v>46034</v>
      </c>
      <c r="D241" t="inlineStr">
        <is>
          <t>GÄVLEBORGS LÄN</t>
        </is>
      </c>
      <c r="E241" t="inlineStr">
        <is>
          <t>HOFORS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31613-2023</t>
        </is>
      </c>
      <c r="B242" s="1" t="n">
        <v>45117</v>
      </c>
      <c r="C242" s="1" t="n">
        <v>46034</v>
      </c>
      <c r="D242" t="inlineStr">
        <is>
          <t>GÄVLEBORGS LÄN</t>
        </is>
      </c>
      <c r="E242" t="inlineStr">
        <is>
          <t>HOFORS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21039-2024</t>
        </is>
      </c>
      <c r="B243" s="1" t="n">
        <v>45439</v>
      </c>
      <c r="C243" s="1" t="n">
        <v>46034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36283-2024</t>
        </is>
      </c>
      <c r="B244" s="1" t="n">
        <v>45534.58899305556</v>
      </c>
      <c r="C244" s="1" t="n">
        <v>46034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20972-2025</t>
        </is>
      </c>
      <c r="B245" s="1" t="n">
        <v>45777.45725694444</v>
      </c>
      <c r="C245" s="1" t="n">
        <v>46034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2026-01-12T10:51:38Z</dcterms:created>
  <dcterms:modified xmlns:dcterms="http://purl.org/dc/terms/" xmlns:xsi="http://www.w3.org/2001/XMLSchema-instance" xsi:type="dcterms:W3CDTF">2026-01-12T10:51:38Z</dcterms:modified>
</cp:coreProperties>
</file>