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45585</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45585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45585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45585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45585</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45585</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45585</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45585</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45585</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45585</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45585</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45585</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45585</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45585</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45585</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45585</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45585</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45585</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45585</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45585</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45585</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38174-2019</t>
        </is>
      </c>
      <c r="B23" s="1" t="n">
        <v>43684</v>
      </c>
      <c r="C23" s="1" t="n">
        <v>45585</v>
      </c>
      <c r="D23" t="inlineStr">
        <is>
          <t>GÄVLEBORGS LÄN</t>
        </is>
      </c>
      <c r="E23" t="inlineStr">
        <is>
          <t>HOFORS</t>
        </is>
      </c>
      <c r="G23" t="n">
        <v>14</v>
      </c>
      <c r="H23" t="n">
        <v>1</v>
      </c>
      <c r="I23" t="n">
        <v>0</v>
      </c>
      <c r="J23" t="n">
        <v>1</v>
      </c>
      <c r="K23" t="n">
        <v>0</v>
      </c>
      <c r="L23" t="n">
        <v>0</v>
      </c>
      <c r="M23" t="n">
        <v>0</v>
      </c>
      <c r="N23" t="n">
        <v>0</v>
      </c>
      <c r="O23" t="n">
        <v>1</v>
      </c>
      <c r="P23" t="n">
        <v>0</v>
      </c>
      <c r="Q23" t="n">
        <v>2</v>
      </c>
      <c r="R23" s="2" t="inlineStr">
        <is>
          <t>Ullticka
Tjäder</t>
        </is>
      </c>
      <c r="S23">
        <f>HYPERLINK("https://klasma.github.io/Logging_2104/artfynd/A 38174-2019 artfynd.xlsx", "A 38174-2019")</f>
        <v/>
      </c>
      <c r="T23">
        <f>HYPERLINK("https://klasma.github.io/Logging_2104/kartor/A 38174-2019 karta.png", "A 38174-2019")</f>
        <v/>
      </c>
      <c r="V23">
        <f>HYPERLINK("https://klasma.github.io/Logging_2104/klagomål/A 38174-2019 FSC-klagomål.docx", "A 38174-2019")</f>
        <v/>
      </c>
      <c r="W23">
        <f>HYPERLINK("https://klasma.github.io/Logging_2104/klagomålsmail/A 38174-2019 FSC-klagomål mail.docx", "A 38174-2019")</f>
        <v/>
      </c>
      <c r="X23">
        <f>HYPERLINK("https://klasma.github.io/Logging_2104/tillsyn/A 38174-2019 tillsynsbegäran.docx", "A 38174-2019")</f>
        <v/>
      </c>
      <c r="Y23">
        <f>HYPERLINK("https://klasma.github.io/Logging_2104/tillsynsmail/A 38174-2019 tillsynsbegäran mail.docx", "A 38174-2019")</f>
        <v/>
      </c>
      <c r="Z23">
        <f>HYPERLINK("https://klasma.github.io/Logging_2104/fåglar/A 38174-2019 prioriterade fågelarter.docx", "A 38174-2019")</f>
        <v/>
      </c>
    </row>
    <row r="24" ht="15" customHeight="1">
      <c r="A24" t="inlineStr">
        <is>
          <t>A 47483-2021</t>
        </is>
      </c>
      <c r="B24" s="1" t="n">
        <v>44447</v>
      </c>
      <c r="C24" s="1" t="n">
        <v>45585</v>
      </c>
      <c r="D24" t="inlineStr">
        <is>
          <t>GÄVLEBORGS LÄN</t>
        </is>
      </c>
      <c r="E24" t="inlineStr">
        <is>
          <t>HOFORS</t>
        </is>
      </c>
      <c r="G24" t="n">
        <v>6.9</v>
      </c>
      <c r="H24" t="n">
        <v>1</v>
      </c>
      <c r="I24" t="n">
        <v>1</v>
      </c>
      <c r="J24" t="n">
        <v>0</v>
      </c>
      <c r="K24" t="n">
        <v>1</v>
      </c>
      <c r="L24" t="n">
        <v>0</v>
      </c>
      <c r="M24" t="n">
        <v>0</v>
      </c>
      <c r="N24" t="n">
        <v>0</v>
      </c>
      <c r="O24" t="n">
        <v>1</v>
      </c>
      <c r="P24" t="n">
        <v>1</v>
      </c>
      <c r="Q24" t="n">
        <v>2</v>
      </c>
      <c r="R24" s="2" t="inlineStr">
        <is>
          <t>Knärot
Mindre märgborre</t>
        </is>
      </c>
      <c r="S24">
        <f>HYPERLINK("https://klasma.github.io/Logging_2104/artfynd/A 47483-2021 artfynd.xlsx", "A 47483-2021")</f>
        <v/>
      </c>
      <c r="T24">
        <f>HYPERLINK("https://klasma.github.io/Logging_2104/kartor/A 47483-2021 karta.png", "A 47483-2021")</f>
        <v/>
      </c>
      <c r="U24">
        <f>HYPERLINK("https://klasma.github.io/Logging_2104/knärot/A 47483-2021 karta knärot.png", "A 47483-2021")</f>
        <v/>
      </c>
      <c r="V24">
        <f>HYPERLINK("https://klasma.github.io/Logging_2104/klagomål/A 47483-2021 FSC-klagomål.docx", "A 47483-2021")</f>
        <v/>
      </c>
      <c r="W24">
        <f>HYPERLINK("https://klasma.github.io/Logging_2104/klagomålsmail/A 47483-2021 FSC-klagomål mail.docx", "A 47483-2021")</f>
        <v/>
      </c>
      <c r="X24">
        <f>HYPERLINK("https://klasma.github.io/Logging_2104/tillsyn/A 47483-2021 tillsynsbegäran.docx", "A 47483-2021")</f>
        <v/>
      </c>
      <c r="Y24">
        <f>HYPERLINK("https://klasma.github.io/Logging_2104/tillsynsmail/A 47483-2021 tillsynsbegäran mail.docx", "A 47483-2021")</f>
        <v/>
      </c>
    </row>
    <row r="25" ht="15" customHeight="1">
      <c r="A25" t="inlineStr">
        <is>
          <t>A 27216-2022</t>
        </is>
      </c>
      <c r="B25" s="1" t="n">
        <v>44741</v>
      </c>
      <c r="C25" s="1" t="n">
        <v>45585</v>
      </c>
      <c r="D25" t="inlineStr">
        <is>
          <t>GÄVLEBORGS LÄN</t>
        </is>
      </c>
      <c r="E25" t="inlineStr">
        <is>
          <t>HOFORS</t>
        </is>
      </c>
      <c r="F25" t="inlineStr">
        <is>
          <t>Sveaskog</t>
        </is>
      </c>
      <c r="G25" t="n">
        <v>6.4</v>
      </c>
      <c r="H25" t="n">
        <v>2</v>
      </c>
      <c r="I25" t="n">
        <v>1</v>
      </c>
      <c r="J25" t="n">
        <v>0</v>
      </c>
      <c r="K25" t="n">
        <v>0</v>
      </c>
      <c r="L25" t="n">
        <v>0</v>
      </c>
      <c r="M25" t="n">
        <v>0</v>
      </c>
      <c r="N25" t="n">
        <v>0</v>
      </c>
      <c r="O25" t="n">
        <v>0</v>
      </c>
      <c r="P25" t="n">
        <v>0</v>
      </c>
      <c r="Q25" t="n">
        <v>2</v>
      </c>
      <c r="R25" s="2" t="inlineStr">
        <is>
          <t>Plattlummer
Revlummer</t>
        </is>
      </c>
      <c r="S25">
        <f>HYPERLINK("https://klasma.github.io/Logging_2104/artfynd/A 27216-2022 artfynd.xlsx", "A 27216-2022")</f>
        <v/>
      </c>
      <c r="T25">
        <f>HYPERLINK("https://klasma.github.io/Logging_2104/kartor/A 27216-2022 karta.png", "A 27216-2022")</f>
        <v/>
      </c>
      <c r="V25">
        <f>HYPERLINK("https://klasma.github.io/Logging_2104/klagomål/A 27216-2022 FSC-klagomål.docx", "A 27216-2022")</f>
        <v/>
      </c>
      <c r="W25">
        <f>HYPERLINK("https://klasma.github.io/Logging_2104/klagomålsmail/A 27216-2022 FSC-klagomål mail.docx", "A 27216-2022")</f>
        <v/>
      </c>
      <c r="X25">
        <f>HYPERLINK("https://klasma.github.io/Logging_2104/tillsyn/A 27216-2022 tillsynsbegäran.docx", "A 27216-2022")</f>
        <v/>
      </c>
      <c r="Y25">
        <f>HYPERLINK("https://klasma.github.io/Logging_2104/tillsynsmail/A 27216-2022 tillsynsbegäran mail.docx", "A 27216-2022")</f>
        <v/>
      </c>
    </row>
    <row r="26" ht="15" customHeight="1">
      <c r="A26" t="inlineStr">
        <is>
          <t>A 38855-2022</t>
        </is>
      </c>
      <c r="B26" s="1" t="n">
        <v>44816</v>
      </c>
      <c r="C26" s="1" t="n">
        <v>45585</v>
      </c>
      <c r="D26" t="inlineStr">
        <is>
          <t>GÄVLEBORGS LÄN</t>
        </is>
      </c>
      <c r="E26" t="inlineStr">
        <is>
          <t>HOFORS</t>
        </is>
      </c>
      <c r="G26" t="n">
        <v>7.1</v>
      </c>
      <c r="H26" t="n">
        <v>2</v>
      </c>
      <c r="I26" t="n">
        <v>0</v>
      </c>
      <c r="J26" t="n">
        <v>0</v>
      </c>
      <c r="K26" t="n">
        <v>1</v>
      </c>
      <c r="L26" t="n">
        <v>0</v>
      </c>
      <c r="M26" t="n">
        <v>0</v>
      </c>
      <c r="N26" t="n">
        <v>0</v>
      </c>
      <c r="O26" t="n">
        <v>1</v>
      </c>
      <c r="P26" t="n">
        <v>1</v>
      </c>
      <c r="Q26" t="n">
        <v>2</v>
      </c>
      <c r="R26" s="2" t="inlineStr">
        <is>
          <t>Knärot
Blåsippa</t>
        </is>
      </c>
      <c r="S26">
        <f>HYPERLINK("https://klasma.github.io/Logging_2104/artfynd/A 38855-2022 artfynd.xlsx", "A 38855-2022")</f>
        <v/>
      </c>
      <c r="T26">
        <f>HYPERLINK("https://klasma.github.io/Logging_2104/kartor/A 38855-2022 karta.png", "A 38855-2022")</f>
        <v/>
      </c>
      <c r="U26">
        <f>HYPERLINK("https://klasma.github.io/Logging_2104/knärot/A 38855-2022 karta knärot.png", "A 38855-2022")</f>
        <v/>
      </c>
      <c r="V26">
        <f>HYPERLINK("https://klasma.github.io/Logging_2104/klagomål/A 38855-2022 FSC-klagomål.docx", "A 38855-2022")</f>
        <v/>
      </c>
      <c r="W26">
        <f>HYPERLINK("https://klasma.github.io/Logging_2104/klagomålsmail/A 38855-2022 FSC-klagomål mail.docx", "A 38855-2022")</f>
        <v/>
      </c>
      <c r="X26">
        <f>HYPERLINK("https://klasma.github.io/Logging_2104/tillsyn/A 38855-2022 tillsynsbegäran.docx", "A 38855-2022")</f>
        <v/>
      </c>
      <c r="Y26">
        <f>HYPERLINK("https://klasma.github.io/Logging_2104/tillsynsmail/A 38855-2022 tillsynsbegäran mail.docx", "A 38855-2022")</f>
        <v/>
      </c>
    </row>
    <row r="27" ht="15" customHeight="1">
      <c r="A27" t="inlineStr">
        <is>
          <t>A 38862-2022</t>
        </is>
      </c>
      <c r="B27" s="1" t="n">
        <v>44816</v>
      </c>
      <c r="C27" s="1" t="n">
        <v>45585</v>
      </c>
      <c r="D27" t="inlineStr">
        <is>
          <t>GÄVLEBORGS LÄN</t>
        </is>
      </c>
      <c r="E27" t="inlineStr">
        <is>
          <t>HOFORS</t>
        </is>
      </c>
      <c r="G27" t="n">
        <v>5.1</v>
      </c>
      <c r="H27" t="n">
        <v>1</v>
      </c>
      <c r="I27" t="n">
        <v>1</v>
      </c>
      <c r="J27" t="n">
        <v>1</v>
      </c>
      <c r="K27" t="n">
        <v>0</v>
      </c>
      <c r="L27" t="n">
        <v>0</v>
      </c>
      <c r="M27" t="n">
        <v>0</v>
      </c>
      <c r="N27" t="n">
        <v>0</v>
      </c>
      <c r="O27" t="n">
        <v>1</v>
      </c>
      <c r="P27" t="n">
        <v>0</v>
      </c>
      <c r="Q27" t="n">
        <v>2</v>
      </c>
      <c r="R27" s="2" t="inlineStr">
        <is>
          <t>Spillkråka
Jättesvampmal</t>
        </is>
      </c>
      <c r="S27">
        <f>HYPERLINK("https://klasma.github.io/Logging_2104/artfynd/A 38862-2022 artfynd.xlsx", "A 38862-2022")</f>
        <v/>
      </c>
      <c r="T27">
        <f>HYPERLINK("https://klasma.github.io/Logging_2104/kartor/A 38862-2022 karta.png", "A 38862-2022")</f>
        <v/>
      </c>
      <c r="V27">
        <f>HYPERLINK("https://klasma.github.io/Logging_2104/klagomål/A 38862-2022 FSC-klagomål.docx", "A 38862-2022")</f>
        <v/>
      </c>
      <c r="W27">
        <f>HYPERLINK("https://klasma.github.io/Logging_2104/klagomålsmail/A 38862-2022 FSC-klagomål mail.docx", "A 38862-2022")</f>
        <v/>
      </c>
      <c r="X27">
        <f>HYPERLINK("https://klasma.github.io/Logging_2104/tillsyn/A 38862-2022 tillsynsbegäran.docx", "A 38862-2022")</f>
        <v/>
      </c>
      <c r="Y27">
        <f>HYPERLINK("https://klasma.github.io/Logging_2104/tillsynsmail/A 38862-2022 tillsynsbegäran mail.docx", "A 38862-2022")</f>
        <v/>
      </c>
      <c r="Z27">
        <f>HYPERLINK("https://klasma.github.io/Logging_2104/fåglar/A 38862-2022 prioriterade fågelarter.docx", "A 38862-2022")</f>
        <v/>
      </c>
    </row>
    <row r="28" ht="15" customHeight="1">
      <c r="A28" t="inlineStr">
        <is>
          <t>A 19549-2023</t>
        </is>
      </c>
      <c r="B28" s="1" t="n">
        <v>45050</v>
      </c>
      <c r="C28" s="1" t="n">
        <v>45585</v>
      </c>
      <c r="D28" t="inlineStr">
        <is>
          <t>GÄVLEBORGS LÄN</t>
        </is>
      </c>
      <c r="E28" t="inlineStr">
        <is>
          <t>HOFORS</t>
        </is>
      </c>
      <c r="G28" t="n">
        <v>3.2</v>
      </c>
      <c r="H28" t="n">
        <v>1</v>
      </c>
      <c r="I28" t="n">
        <v>1</v>
      </c>
      <c r="J28" t="n">
        <v>0</v>
      </c>
      <c r="K28" t="n">
        <v>0</v>
      </c>
      <c r="L28" t="n">
        <v>0</v>
      </c>
      <c r="M28" t="n">
        <v>0</v>
      </c>
      <c r="N28" t="n">
        <v>0</v>
      </c>
      <c r="O28" t="n">
        <v>0</v>
      </c>
      <c r="P28" t="n">
        <v>0</v>
      </c>
      <c r="Q28" t="n">
        <v>2</v>
      </c>
      <c r="R28" s="2" t="inlineStr">
        <is>
          <t>Svavelriska
Blåsippa</t>
        </is>
      </c>
      <c r="S28">
        <f>HYPERLINK("https://klasma.github.io/Logging_2104/artfynd/A 19549-2023 artfynd.xlsx", "A 19549-2023")</f>
        <v/>
      </c>
      <c r="T28">
        <f>HYPERLINK("https://klasma.github.io/Logging_2104/kartor/A 19549-2023 karta.png", "A 19549-2023")</f>
        <v/>
      </c>
      <c r="V28">
        <f>HYPERLINK("https://klasma.github.io/Logging_2104/klagomål/A 19549-2023 FSC-klagomål.docx", "A 19549-2023")</f>
        <v/>
      </c>
      <c r="W28">
        <f>HYPERLINK("https://klasma.github.io/Logging_2104/klagomålsmail/A 19549-2023 FSC-klagomål mail.docx", "A 19549-2023")</f>
        <v/>
      </c>
      <c r="X28">
        <f>HYPERLINK("https://klasma.github.io/Logging_2104/tillsyn/A 19549-2023 tillsynsbegäran.docx", "A 19549-2023")</f>
        <v/>
      </c>
      <c r="Y28">
        <f>HYPERLINK("https://klasma.github.io/Logging_2104/tillsynsmail/A 19549-2023 tillsynsbegäran mail.docx", "A 19549-2023")</f>
        <v/>
      </c>
    </row>
    <row r="29" ht="15" customHeight="1">
      <c r="A29" t="inlineStr">
        <is>
          <t>A 39002-2023</t>
        </is>
      </c>
      <c r="B29" s="1" t="n">
        <v>45163</v>
      </c>
      <c r="C29" s="1" t="n">
        <v>45585</v>
      </c>
      <c r="D29" t="inlineStr">
        <is>
          <t>GÄVLEBORGS LÄN</t>
        </is>
      </c>
      <c r="E29" t="inlineStr">
        <is>
          <t>HOFORS</t>
        </is>
      </c>
      <c r="F29" t="inlineStr">
        <is>
          <t>Sveaskog</t>
        </is>
      </c>
      <c r="G29" t="n">
        <v>2.5</v>
      </c>
      <c r="H29" t="n">
        <v>1</v>
      </c>
      <c r="I29" t="n">
        <v>1</v>
      </c>
      <c r="J29" t="n">
        <v>0</v>
      </c>
      <c r="K29" t="n">
        <v>0</v>
      </c>
      <c r="L29" t="n">
        <v>0</v>
      </c>
      <c r="M29" t="n">
        <v>0</v>
      </c>
      <c r="N29" t="n">
        <v>0</v>
      </c>
      <c r="O29" t="n">
        <v>0</v>
      </c>
      <c r="P29" t="n">
        <v>0</v>
      </c>
      <c r="Q29" t="n">
        <v>2</v>
      </c>
      <c r="R29" s="2" t="inlineStr">
        <is>
          <t>Gräsull
Blåsippa</t>
        </is>
      </c>
      <c r="S29">
        <f>HYPERLINK("https://klasma.github.io/Logging_2104/artfynd/A 39002-2023 artfynd.xlsx", "A 39002-2023")</f>
        <v/>
      </c>
      <c r="T29">
        <f>HYPERLINK("https://klasma.github.io/Logging_2104/kartor/A 39002-2023 karta.png", "A 39002-2023")</f>
        <v/>
      </c>
      <c r="V29">
        <f>HYPERLINK("https://klasma.github.io/Logging_2104/klagomål/A 39002-2023 FSC-klagomål.docx", "A 39002-2023")</f>
        <v/>
      </c>
      <c r="W29">
        <f>HYPERLINK("https://klasma.github.io/Logging_2104/klagomålsmail/A 39002-2023 FSC-klagomål mail.docx", "A 39002-2023")</f>
        <v/>
      </c>
      <c r="X29">
        <f>HYPERLINK("https://klasma.github.io/Logging_2104/tillsyn/A 39002-2023 tillsynsbegäran.docx", "A 39002-2023")</f>
        <v/>
      </c>
      <c r="Y29">
        <f>HYPERLINK("https://klasma.github.io/Logging_2104/tillsynsmail/A 39002-2023 tillsynsbegäran mail.docx", "A 39002-2023")</f>
        <v/>
      </c>
    </row>
    <row r="30" ht="15" customHeight="1">
      <c r="A30" t="inlineStr">
        <is>
          <t>A 44963-2020</t>
        </is>
      </c>
      <c r="B30" s="1" t="n">
        <v>44088</v>
      </c>
      <c r="C30" s="1" t="n">
        <v>45585</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45585</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45585</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45585</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45585</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45585</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45585</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45585</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45585</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45585</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45585</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45585</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45585</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45585</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45585</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45585</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45585</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45585</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45585</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45585</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45585</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45585</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45585</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45585</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45585</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45585</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45585</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45585</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45585</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45585</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45585</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45585</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45585</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45585</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45585</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45585</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45585</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45585</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45585</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45585</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45585</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45585</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45585</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45585</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45585</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45585</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45585</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45585</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45585</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45585</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45585</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45585</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45585</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45585</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45585</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45585</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45585</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45585</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45585</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45585</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45585</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45585</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45585</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45585</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45585</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45585</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45585</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45585</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45585</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45585</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45585</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45585</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45585</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45585</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45585</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45585</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45585</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45585</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45585</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45585</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45585</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45585</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45585</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45585</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45585</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45585</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45585</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45585</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45585</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45585</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45585</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45585</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45585</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45585</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45585</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45585</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45585</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45585</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45585</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45585</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45585</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45585</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45585</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45585</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45585</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45585</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45585</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45585</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45585</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45585</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45585</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45585</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45585</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45585</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45585</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45585</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45585</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45585</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45585</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45585</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45585</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45585</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45585</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45585</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45585</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45585</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45585</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45585</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45585</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45585</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45585</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45585</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45585</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45585</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45585</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45585</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45585</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45585</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45585</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45585</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45585</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45585</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45585</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45585</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45585</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45585</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45585</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45585</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45585</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45585</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45585</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45585</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45585</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45585</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45585</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45585</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45585</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45585</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45585</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45585</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45585</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45585</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45585</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45585</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45585</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45585</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45585</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45585</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45585</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45585</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45585</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45585</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45585</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45585</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45585</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45585</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45585</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45585</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45585</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45585</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45585</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45585</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45585</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45585</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45585</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45585</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45585</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45585</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45585</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45585</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45585</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45585</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45585</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45585</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45585</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45585</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45585</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45585</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45585</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45585</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45585</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45585</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45585</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45585</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45585</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45585</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45585</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45585</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45585</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45585</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45585</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45585</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45585</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45585</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45585</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45585</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45585</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45585</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45585</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45585</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45585</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45585</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45585</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45585</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45585</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45585</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45585</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45585</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45585</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45585</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45585</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45585</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45585</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45585</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45585</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45585</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45585</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45585</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45585</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45585</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45585</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45585</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45585</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45585</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45585</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45585</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45585</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45585</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45585</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45585</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45585</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45585</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45585</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45585</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45585</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45585</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45585</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45585</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45585</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45585</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45585</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45585</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45585</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45585</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45585</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45585</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45585</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45585</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45585</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45585</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45585</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45585</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45585</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45585</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45585</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45585</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45585</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45585</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45585</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45585</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45585</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45585</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45585</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45585</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45585</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45585</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45585</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45585</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45585</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45585</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45585</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45585</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45585</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45585</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45585</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45585</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45585</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45585</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45585</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45585</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45585</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45585</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45585</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45585</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45585</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45585</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45585</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45585</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45585</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45585</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45585</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45585</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45585</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45585</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45585</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45585</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45585</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45585</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45585</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45585</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45585</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45585</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45585</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45585</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45585</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45585</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45585</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45585</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45585</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45585</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45585</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45585</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45585</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45585</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45585</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45585</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40861-2024</t>
        </is>
      </c>
      <c r="B366" s="1" t="n">
        <v>45558</v>
      </c>
      <c r="C366" s="1" t="n">
        <v>45585</v>
      </c>
      <c r="D366" t="inlineStr">
        <is>
          <t>GÄVLEBORGS LÄN</t>
        </is>
      </c>
      <c r="E366" t="inlineStr">
        <is>
          <t>HOFORS</t>
        </is>
      </c>
      <c r="F366" t="inlineStr">
        <is>
          <t>Sveaskog</t>
        </is>
      </c>
      <c r="G366" t="n">
        <v>19.5</v>
      </c>
      <c r="H366" t="n">
        <v>0</v>
      </c>
      <c r="I366" t="n">
        <v>0</v>
      </c>
      <c r="J366" t="n">
        <v>0</v>
      </c>
      <c r="K366" t="n">
        <v>0</v>
      </c>
      <c r="L366" t="n">
        <v>0</v>
      </c>
      <c r="M366" t="n">
        <v>0</v>
      </c>
      <c r="N366" t="n">
        <v>0</v>
      </c>
      <c r="O366" t="n">
        <v>0</v>
      </c>
      <c r="P366" t="n">
        <v>0</v>
      </c>
      <c r="Q366" t="n">
        <v>0</v>
      </c>
      <c r="R366" s="2" t="inlineStr"/>
    </row>
    <row r="367" ht="15" customHeight="1">
      <c r="A367" t="inlineStr">
        <is>
          <t>A 40863-2024</t>
        </is>
      </c>
      <c r="B367" s="1" t="n">
        <v>45558</v>
      </c>
      <c r="C367" s="1" t="n">
        <v>45585</v>
      </c>
      <c r="D367" t="inlineStr">
        <is>
          <t>GÄVLEBORGS LÄN</t>
        </is>
      </c>
      <c r="E367" t="inlineStr">
        <is>
          <t>HOFORS</t>
        </is>
      </c>
      <c r="F367" t="inlineStr">
        <is>
          <t>Sveaskog</t>
        </is>
      </c>
      <c r="G367" t="n">
        <v>1.2</v>
      </c>
      <c r="H367" t="n">
        <v>0</v>
      </c>
      <c r="I367" t="n">
        <v>0</v>
      </c>
      <c r="J367" t="n">
        <v>0</v>
      </c>
      <c r="K367" t="n">
        <v>0</v>
      </c>
      <c r="L367" t="n">
        <v>0</v>
      </c>
      <c r="M367" t="n">
        <v>0</v>
      </c>
      <c r="N367" t="n">
        <v>0</v>
      </c>
      <c r="O367" t="n">
        <v>0</v>
      </c>
      <c r="P367" t="n">
        <v>0</v>
      </c>
      <c r="Q367" t="n">
        <v>0</v>
      </c>
      <c r="R367" s="2" t="inlineStr"/>
    </row>
    <row r="368" ht="15" customHeight="1">
      <c r="A368" t="inlineStr">
        <is>
          <t>A 43143-2024</t>
        </is>
      </c>
      <c r="B368" s="1" t="n">
        <v>45567</v>
      </c>
      <c r="C368" s="1" t="n">
        <v>45585</v>
      </c>
      <c r="D368" t="inlineStr">
        <is>
          <t>GÄVLEBORGS LÄN</t>
        </is>
      </c>
      <c r="E368" t="inlineStr">
        <is>
          <t>HOFORS</t>
        </is>
      </c>
      <c r="G368" t="n">
        <v>3.3</v>
      </c>
      <c r="H368" t="n">
        <v>0</v>
      </c>
      <c r="I368" t="n">
        <v>0</v>
      </c>
      <c r="J368" t="n">
        <v>0</v>
      </c>
      <c r="K368" t="n">
        <v>0</v>
      </c>
      <c r="L368" t="n">
        <v>0</v>
      </c>
      <c r="M368" t="n">
        <v>0</v>
      </c>
      <c r="N368" t="n">
        <v>0</v>
      </c>
      <c r="O368" t="n">
        <v>0</v>
      </c>
      <c r="P368" t="n">
        <v>0</v>
      </c>
      <c r="Q368" t="n">
        <v>0</v>
      </c>
      <c r="R368" s="2" t="inlineStr"/>
    </row>
    <row r="369">
      <c r="A369" t="inlineStr">
        <is>
          <t>A 45645-2024</t>
        </is>
      </c>
      <c r="B369" s="1" t="n">
        <v>45579</v>
      </c>
      <c r="C369" s="1" t="n">
        <v>45585</v>
      </c>
      <c r="D369" t="inlineStr">
        <is>
          <t>GÄVLEBORGS LÄN</t>
        </is>
      </c>
      <c r="E369" t="inlineStr">
        <is>
          <t>HOFORS</t>
        </is>
      </c>
      <c r="G369" t="n">
        <v>0.7</v>
      </c>
      <c r="H369" t="n">
        <v>0</v>
      </c>
      <c r="I369" t="n">
        <v>0</v>
      </c>
      <c r="J369" t="n">
        <v>0</v>
      </c>
      <c r="K369" t="n">
        <v>0</v>
      </c>
      <c r="L369" t="n">
        <v>0</v>
      </c>
      <c r="M369" t="n">
        <v>0</v>
      </c>
      <c r="N369" t="n">
        <v>0</v>
      </c>
      <c r="O369" t="n">
        <v>0</v>
      </c>
      <c r="P369" t="n">
        <v>0</v>
      </c>
      <c r="Q369" t="n">
        <v>0</v>
      </c>
      <c r="R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2024-10-20T12:18:11Z</dcterms:created>
  <dcterms:modified xmlns:dcterms="http://purl.org/dc/terms/" xmlns:xsi="http://www.w3.org/2001/XMLSchema-instance" xsi:type="dcterms:W3CDTF">2024-10-20T12:18:11Z</dcterms:modified>
</cp:coreProperties>
</file>