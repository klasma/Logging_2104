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45887</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45887</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45887</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45887</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45887</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45887</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45887</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45887</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45887</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45887</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7543-2024</t>
        </is>
      </c>
      <c r="B13" s="1" t="n">
        <v>45348</v>
      </c>
      <c r="C13" s="1" t="n">
        <v>45887</v>
      </c>
      <c r="D13" t="inlineStr">
        <is>
          <t>GÄVLEBORGS LÄN</t>
        </is>
      </c>
      <c r="E13" t="inlineStr">
        <is>
          <t>HOFORS</t>
        </is>
      </c>
      <c r="G13" t="n">
        <v>3.2</v>
      </c>
      <c r="H13" t="n">
        <v>0</v>
      </c>
      <c r="I13" t="n">
        <v>1</v>
      </c>
      <c r="J13" t="n">
        <v>0</v>
      </c>
      <c r="K13" t="n">
        <v>0</v>
      </c>
      <c r="L13" t="n">
        <v>0</v>
      </c>
      <c r="M13" t="n">
        <v>0</v>
      </c>
      <c r="N13" t="n">
        <v>0</v>
      </c>
      <c r="O13" t="n">
        <v>0</v>
      </c>
      <c r="P13" t="n">
        <v>0</v>
      </c>
      <c r="Q13" t="n">
        <v>1</v>
      </c>
      <c r="R13" s="2" t="inlineStr">
        <is>
          <t>Svart trolldruva</t>
        </is>
      </c>
      <c r="S13">
        <f>HYPERLINK("https://klasma.github.io/Logging_2104/artfynd/A 7543-2024 artfynd.xlsx", "A 7543-2024")</f>
        <v/>
      </c>
      <c r="T13">
        <f>HYPERLINK("https://klasma.github.io/Logging_2104/kartor/A 7543-2024 karta.png", "A 7543-2024")</f>
        <v/>
      </c>
      <c r="V13">
        <f>HYPERLINK("https://klasma.github.io/Logging_2104/klagomål/A 7543-2024 FSC-klagomål.docx", "A 7543-2024")</f>
        <v/>
      </c>
      <c r="W13">
        <f>HYPERLINK("https://klasma.github.io/Logging_2104/klagomålsmail/A 7543-2024 FSC-klagomål mail.docx", "A 7543-2024")</f>
        <v/>
      </c>
      <c r="X13">
        <f>HYPERLINK("https://klasma.github.io/Logging_2104/tillsyn/A 7543-2024 tillsynsbegäran.docx", "A 7543-2024")</f>
        <v/>
      </c>
      <c r="Y13">
        <f>HYPERLINK("https://klasma.github.io/Logging_2104/tillsynsmail/A 7543-2024 tillsynsbegäran mail.docx", "A 7543-2024")</f>
        <v/>
      </c>
    </row>
    <row r="14" ht="15" customHeight="1">
      <c r="A14" t="inlineStr">
        <is>
          <t>A 35521-2024</t>
        </is>
      </c>
      <c r="B14" s="1" t="n">
        <v>45531.57493055556</v>
      </c>
      <c r="C14" s="1" t="n">
        <v>45887</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33298-2023</t>
        </is>
      </c>
      <c r="B15" s="1" t="n">
        <v>45127</v>
      </c>
      <c r="C15" s="1" t="n">
        <v>45887</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27434-2025</t>
        </is>
      </c>
      <c r="B16" s="1" t="n">
        <v>45813</v>
      </c>
      <c r="C16" s="1" t="n">
        <v>45887</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45887</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30008-2024</t>
        </is>
      </c>
      <c r="B18" s="1" t="n">
        <v>45488.6040162037</v>
      </c>
      <c r="C18" s="1" t="n">
        <v>45887</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35743-2025</t>
        </is>
      </c>
      <c r="B19" s="1" t="n">
        <v>45860.54238425926</v>
      </c>
      <c r="C19" s="1" t="n">
        <v>45887</v>
      </c>
      <c r="D19" t="inlineStr">
        <is>
          <t>GÄVLEBORGS LÄN</t>
        </is>
      </c>
      <c r="E19" t="inlineStr">
        <is>
          <t>HOFORS</t>
        </is>
      </c>
      <c r="F19" t="inlineStr">
        <is>
          <t>Sveaskog</t>
        </is>
      </c>
      <c r="G19" t="n">
        <v>1.4</v>
      </c>
      <c r="H19" t="n">
        <v>1</v>
      </c>
      <c r="I19" t="n">
        <v>0</v>
      </c>
      <c r="J19" t="n">
        <v>0</v>
      </c>
      <c r="K19" t="n">
        <v>0</v>
      </c>
      <c r="L19" t="n">
        <v>0</v>
      </c>
      <c r="M19" t="n">
        <v>0</v>
      </c>
      <c r="N19" t="n">
        <v>0</v>
      </c>
      <c r="O19" t="n">
        <v>0</v>
      </c>
      <c r="P19" t="n">
        <v>0</v>
      </c>
      <c r="Q19" t="n">
        <v>1</v>
      </c>
      <c r="R19" s="2" t="inlineStr">
        <is>
          <t>Mattlummer</t>
        </is>
      </c>
      <c r="S19">
        <f>HYPERLINK("https://klasma.github.io/Logging_2104/artfynd/A 35743-2025 artfynd.xlsx", "A 35743-2025")</f>
        <v/>
      </c>
      <c r="T19">
        <f>HYPERLINK("https://klasma.github.io/Logging_2104/kartor/A 35743-2025 karta.png", "A 35743-2025")</f>
        <v/>
      </c>
      <c r="V19">
        <f>HYPERLINK("https://klasma.github.io/Logging_2104/klagomål/A 35743-2025 FSC-klagomål.docx", "A 35743-2025")</f>
        <v/>
      </c>
      <c r="W19">
        <f>HYPERLINK("https://klasma.github.io/Logging_2104/klagomålsmail/A 35743-2025 FSC-klagomål mail.docx", "A 35743-2025")</f>
        <v/>
      </c>
      <c r="X19">
        <f>HYPERLINK("https://klasma.github.io/Logging_2104/tillsyn/A 35743-2025 tillsynsbegäran.docx", "A 35743-2025")</f>
        <v/>
      </c>
      <c r="Y19">
        <f>HYPERLINK("https://klasma.github.io/Logging_2104/tillsynsmail/A 35743-2025 tillsynsbegäran mail.docx", "A 35743-2025")</f>
        <v/>
      </c>
    </row>
    <row r="20" ht="15" customHeight="1">
      <c r="A20" t="inlineStr">
        <is>
          <t>A 36606-2025</t>
        </is>
      </c>
      <c r="B20" s="1" t="n">
        <v>45870.54482638889</v>
      </c>
      <c r="C20" s="1" t="n">
        <v>45887</v>
      </c>
      <c r="D20" t="inlineStr">
        <is>
          <t>GÄVLEBORGS LÄN</t>
        </is>
      </c>
      <c r="E20" t="inlineStr">
        <is>
          <t>HOFORS</t>
        </is>
      </c>
      <c r="F20" t="inlineStr">
        <is>
          <t>Sveaskog</t>
        </is>
      </c>
      <c r="G20" t="n">
        <v>13.3</v>
      </c>
      <c r="H20" t="n">
        <v>0</v>
      </c>
      <c r="I20" t="n">
        <v>0</v>
      </c>
      <c r="J20" t="n">
        <v>1</v>
      </c>
      <c r="K20" t="n">
        <v>0</v>
      </c>
      <c r="L20" t="n">
        <v>0</v>
      </c>
      <c r="M20" t="n">
        <v>0</v>
      </c>
      <c r="N20" t="n">
        <v>0</v>
      </c>
      <c r="O20" t="n">
        <v>1</v>
      </c>
      <c r="P20" t="n">
        <v>0</v>
      </c>
      <c r="Q20" t="n">
        <v>1</v>
      </c>
      <c r="R20" s="2" t="inlineStr">
        <is>
          <t>Brunklöver</t>
        </is>
      </c>
      <c r="S20">
        <f>HYPERLINK("https://klasma.github.io/Logging_2104/artfynd/A 36606-2025 artfynd.xlsx", "A 36606-2025")</f>
        <v/>
      </c>
      <c r="T20">
        <f>HYPERLINK("https://klasma.github.io/Logging_2104/kartor/A 36606-2025 karta.png", "A 36606-2025")</f>
        <v/>
      </c>
      <c r="V20">
        <f>HYPERLINK("https://klasma.github.io/Logging_2104/klagomål/A 36606-2025 FSC-klagomål.docx", "A 36606-2025")</f>
        <v/>
      </c>
      <c r="W20">
        <f>HYPERLINK("https://klasma.github.io/Logging_2104/klagomålsmail/A 36606-2025 FSC-klagomål mail.docx", "A 36606-2025")</f>
        <v/>
      </c>
      <c r="X20">
        <f>HYPERLINK("https://klasma.github.io/Logging_2104/tillsyn/A 36606-2025 tillsynsbegäran.docx", "A 36606-2025")</f>
        <v/>
      </c>
      <c r="Y20">
        <f>HYPERLINK("https://klasma.github.io/Logging_2104/tillsynsmail/A 36606-2025 tillsynsbegäran mail.docx", "A 36606-2025")</f>
        <v/>
      </c>
    </row>
    <row r="21" ht="15" customHeight="1">
      <c r="A21" t="inlineStr">
        <is>
          <t>A 28392-2024</t>
        </is>
      </c>
      <c r="B21" s="1" t="n">
        <v>45477.60362268519</v>
      </c>
      <c r="C21" s="1" t="n">
        <v>45887</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37011-2025</t>
        </is>
      </c>
      <c r="B22" s="1" t="n">
        <v>45874.70511574074</v>
      </c>
      <c r="C22" s="1" t="n">
        <v>45887</v>
      </c>
      <c r="D22" t="inlineStr">
        <is>
          <t>GÄVLEBORGS LÄN</t>
        </is>
      </c>
      <c r="E22" t="inlineStr">
        <is>
          <t>HOFORS</t>
        </is>
      </c>
      <c r="F22" t="inlineStr">
        <is>
          <t>Sveaskog</t>
        </is>
      </c>
      <c r="G22" t="n">
        <v>3</v>
      </c>
      <c r="H22" t="n">
        <v>1</v>
      </c>
      <c r="I22" t="n">
        <v>0</v>
      </c>
      <c r="J22" t="n">
        <v>0</v>
      </c>
      <c r="K22" t="n">
        <v>1</v>
      </c>
      <c r="L22" t="n">
        <v>0</v>
      </c>
      <c r="M22" t="n">
        <v>0</v>
      </c>
      <c r="N22" t="n">
        <v>0</v>
      </c>
      <c r="O22" t="n">
        <v>1</v>
      </c>
      <c r="P22" t="n">
        <v>1</v>
      </c>
      <c r="Q22" t="n">
        <v>1</v>
      </c>
      <c r="R22" s="2" t="inlineStr">
        <is>
          <t>Knärot</t>
        </is>
      </c>
      <c r="S22">
        <f>HYPERLINK("https://klasma.github.io/Logging_2104/artfynd/A 37011-2025 artfynd.xlsx", "A 37011-2025")</f>
        <v/>
      </c>
      <c r="T22">
        <f>HYPERLINK("https://klasma.github.io/Logging_2104/kartor/A 37011-2025 karta.png", "A 37011-2025")</f>
        <v/>
      </c>
      <c r="U22">
        <f>HYPERLINK("https://klasma.github.io/Logging_2104/knärot/A 37011-2025 karta knärot.png", "A 37011-2025")</f>
        <v/>
      </c>
      <c r="V22">
        <f>HYPERLINK("https://klasma.github.io/Logging_2104/klagomål/A 37011-2025 FSC-klagomål.docx", "A 37011-2025")</f>
        <v/>
      </c>
      <c r="W22">
        <f>HYPERLINK("https://klasma.github.io/Logging_2104/klagomålsmail/A 37011-2025 FSC-klagomål mail.docx", "A 37011-2025")</f>
        <v/>
      </c>
      <c r="X22">
        <f>HYPERLINK("https://klasma.github.io/Logging_2104/tillsyn/A 37011-2025 tillsynsbegäran.docx", "A 37011-2025")</f>
        <v/>
      </c>
      <c r="Y22">
        <f>HYPERLINK("https://klasma.github.io/Logging_2104/tillsynsmail/A 37011-2025 tillsynsbegäran mail.docx", "A 37011-2025")</f>
        <v/>
      </c>
    </row>
    <row r="23" ht="15" customHeight="1">
      <c r="A23" t="inlineStr">
        <is>
          <t>A 35741-2025</t>
        </is>
      </c>
      <c r="B23" s="1" t="n">
        <v>45860</v>
      </c>
      <c r="C23" s="1" t="n">
        <v>45887</v>
      </c>
      <c r="D23" t="inlineStr">
        <is>
          <t>GÄVLEBORGS LÄN</t>
        </is>
      </c>
      <c r="E23" t="inlineStr">
        <is>
          <t>HOFORS</t>
        </is>
      </c>
      <c r="F23" t="inlineStr">
        <is>
          <t>Sveaskog</t>
        </is>
      </c>
      <c r="G23" t="n">
        <v>3.9</v>
      </c>
      <c r="H23" t="n">
        <v>1</v>
      </c>
      <c r="I23" t="n">
        <v>0</v>
      </c>
      <c r="J23" t="n">
        <v>0</v>
      </c>
      <c r="K23" t="n">
        <v>1</v>
      </c>
      <c r="L23" t="n">
        <v>0</v>
      </c>
      <c r="M23" t="n">
        <v>0</v>
      </c>
      <c r="N23" t="n">
        <v>0</v>
      </c>
      <c r="O23" t="n">
        <v>1</v>
      </c>
      <c r="P23" t="n">
        <v>1</v>
      </c>
      <c r="Q23" t="n">
        <v>1</v>
      </c>
      <c r="R23" s="2" t="inlineStr">
        <is>
          <t>Knärot</t>
        </is>
      </c>
      <c r="S23">
        <f>HYPERLINK("https://klasma.github.io/Logging_2104/artfynd/A 35741-2025 artfynd.xlsx", "A 35741-2025")</f>
        <v/>
      </c>
      <c r="T23">
        <f>HYPERLINK("https://klasma.github.io/Logging_2104/kartor/A 35741-2025 karta.png", "A 35741-2025")</f>
        <v/>
      </c>
      <c r="U23">
        <f>HYPERLINK("https://klasma.github.io/Logging_2104/knärot/A 35741-2025 karta knärot.png", "A 35741-2025")</f>
        <v/>
      </c>
      <c r="V23">
        <f>HYPERLINK("https://klasma.github.io/Logging_2104/klagomål/A 35741-2025 FSC-klagomål.docx", "A 35741-2025")</f>
        <v/>
      </c>
      <c r="W23">
        <f>HYPERLINK("https://klasma.github.io/Logging_2104/klagomålsmail/A 35741-2025 FSC-klagomål mail.docx", "A 35741-2025")</f>
        <v/>
      </c>
      <c r="X23">
        <f>HYPERLINK("https://klasma.github.io/Logging_2104/tillsyn/A 35741-2025 tillsynsbegäran.docx", "A 35741-2025")</f>
        <v/>
      </c>
      <c r="Y23">
        <f>HYPERLINK("https://klasma.github.io/Logging_2104/tillsynsmail/A 35741-2025 tillsynsbegäran mail.docx", "A 35741-2025")</f>
        <v/>
      </c>
    </row>
    <row r="24" ht="15" customHeight="1">
      <c r="A24" t="inlineStr">
        <is>
          <t>A 47459-2023</t>
        </is>
      </c>
      <c r="B24" s="1" t="n">
        <v>45202.83313657407</v>
      </c>
      <c r="C24" s="1" t="n">
        <v>45887</v>
      </c>
      <c r="D24" t="inlineStr">
        <is>
          <t>GÄVLEBORGS LÄN</t>
        </is>
      </c>
      <c r="E24" t="inlineStr">
        <is>
          <t>HOFORS</t>
        </is>
      </c>
      <c r="G24" t="n">
        <v>6</v>
      </c>
      <c r="H24" t="n">
        <v>0</v>
      </c>
      <c r="I24" t="n">
        <v>1</v>
      </c>
      <c r="J24" t="n">
        <v>0</v>
      </c>
      <c r="K24" t="n">
        <v>0</v>
      </c>
      <c r="L24" t="n">
        <v>0</v>
      </c>
      <c r="M24" t="n">
        <v>0</v>
      </c>
      <c r="N24" t="n">
        <v>0</v>
      </c>
      <c r="O24" t="n">
        <v>0</v>
      </c>
      <c r="P24" t="n">
        <v>0</v>
      </c>
      <c r="Q24" t="n">
        <v>1</v>
      </c>
      <c r="R24" s="2" t="inlineStr">
        <is>
          <t>Grönpyrola</t>
        </is>
      </c>
      <c r="S24">
        <f>HYPERLINK("https://klasma.github.io/Logging_2104/artfynd/A 47459-2023 artfynd.xlsx", "A 47459-2023")</f>
        <v/>
      </c>
      <c r="T24">
        <f>HYPERLINK("https://klasma.github.io/Logging_2104/kartor/A 47459-2023 karta.png", "A 47459-2023")</f>
        <v/>
      </c>
      <c r="V24">
        <f>HYPERLINK("https://klasma.github.io/Logging_2104/klagomål/A 47459-2023 FSC-klagomål.docx", "A 47459-2023")</f>
        <v/>
      </c>
      <c r="W24">
        <f>HYPERLINK("https://klasma.github.io/Logging_2104/klagomålsmail/A 47459-2023 FSC-klagomål mail.docx", "A 47459-2023")</f>
        <v/>
      </c>
      <c r="X24">
        <f>HYPERLINK("https://klasma.github.io/Logging_2104/tillsyn/A 47459-2023 tillsynsbegäran.docx", "A 47459-2023")</f>
        <v/>
      </c>
      <c r="Y24">
        <f>HYPERLINK("https://klasma.github.io/Logging_2104/tillsynsmail/A 47459-2023 tillsynsbegäran mail.docx", "A 47459-2023")</f>
        <v/>
      </c>
    </row>
    <row r="25" ht="15" customHeight="1">
      <c r="A25" t="inlineStr">
        <is>
          <t>A 23354-2024</t>
        </is>
      </c>
      <c r="B25" s="1" t="n">
        <v>45453</v>
      </c>
      <c r="C25" s="1" t="n">
        <v>45887</v>
      </c>
      <c r="D25" t="inlineStr">
        <is>
          <t>GÄVLEBORGS LÄN</t>
        </is>
      </c>
      <c r="E25" t="inlineStr">
        <is>
          <t>HOFORS</t>
        </is>
      </c>
      <c r="F25" t="inlineStr">
        <is>
          <t>Sveaskog</t>
        </is>
      </c>
      <c r="G25" t="n">
        <v>2</v>
      </c>
      <c r="H25" t="n">
        <v>1</v>
      </c>
      <c r="I25" t="n">
        <v>0</v>
      </c>
      <c r="J25" t="n">
        <v>0</v>
      </c>
      <c r="K25" t="n">
        <v>0</v>
      </c>
      <c r="L25" t="n">
        <v>0</v>
      </c>
      <c r="M25" t="n">
        <v>0</v>
      </c>
      <c r="N25" t="n">
        <v>0</v>
      </c>
      <c r="O25" t="n">
        <v>0</v>
      </c>
      <c r="P25" t="n">
        <v>0</v>
      </c>
      <c r="Q25" t="n">
        <v>1</v>
      </c>
      <c r="R25" s="2" t="inlineStr">
        <is>
          <t>Fläcknycklar</t>
        </is>
      </c>
      <c r="S25">
        <f>HYPERLINK("https://klasma.github.io/Logging_2104/artfynd/A 23354-2024 artfynd.xlsx", "A 23354-2024")</f>
        <v/>
      </c>
      <c r="T25">
        <f>HYPERLINK("https://klasma.github.io/Logging_2104/kartor/A 23354-2024 karta.png", "A 23354-2024")</f>
        <v/>
      </c>
      <c r="V25">
        <f>HYPERLINK("https://klasma.github.io/Logging_2104/klagomål/A 23354-2024 FSC-klagomål.docx", "A 23354-2024")</f>
        <v/>
      </c>
      <c r="W25">
        <f>HYPERLINK("https://klasma.github.io/Logging_2104/klagomålsmail/A 23354-2024 FSC-klagomål mail.docx", "A 23354-2024")</f>
        <v/>
      </c>
      <c r="X25">
        <f>HYPERLINK("https://klasma.github.io/Logging_2104/tillsyn/A 23354-2024 tillsynsbegäran.docx", "A 23354-2024")</f>
        <v/>
      </c>
      <c r="Y25">
        <f>HYPERLINK("https://klasma.github.io/Logging_2104/tillsynsmail/A 23354-2024 tillsynsbegäran mail.docx", "A 23354-2024")</f>
        <v/>
      </c>
    </row>
    <row r="26" ht="15" customHeight="1">
      <c r="A26" t="inlineStr">
        <is>
          <t>A 22096-2021</t>
        </is>
      </c>
      <c r="B26" s="1" t="n">
        <v>44323</v>
      </c>
      <c r="C26" s="1" t="n">
        <v>45887</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45887</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47219-2024</t>
        </is>
      </c>
      <c r="B28" s="1" t="n">
        <v>45586</v>
      </c>
      <c r="C28" s="1" t="n">
        <v>45887</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234-2023</t>
        </is>
      </c>
      <c r="B29" s="1" t="n">
        <v>44928.66260416667</v>
      </c>
      <c r="C29" s="1" t="n">
        <v>45887</v>
      </c>
      <c r="D29" t="inlineStr">
        <is>
          <t>GÄVLEBORGS LÄN</t>
        </is>
      </c>
      <c r="E29" t="inlineStr">
        <is>
          <t>HOFORS</t>
        </is>
      </c>
      <c r="F29" t="inlineStr">
        <is>
          <t>Sveaskog</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234-2023 artfynd.xlsx", "A 234-2023")</f>
        <v/>
      </c>
      <c r="T29">
        <f>HYPERLINK("https://klasma.github.io/Logging_2104/kartor/A 234-2023 karta.png", "A 234-2023")</f>
        <v/>
      </c>
      <c r="U29">
        <f>HYPERLINK("https://klasma.github.io/Logging_2104/knärot/A 234-2023 karta knärot.png", "A 234-2023")</f>
        <v/>
      </c>
      <c r="V29">
        <f>HYPERLINK("https://klasma.github.io/Logging_2104/klagomål/A 234-2023 FSC-klagomål.docx", "A 234-2023")</f>
        <v/>
      </c>
      <c r="W29">
        <f>HYPERLINK("https://klasma.github.io/Logging_2104/klagomålsmail/A 234-2023 FSC-klagomål mail.docx", "A 234-2023")</f>
        <v/>
      </c>
      <c r="X29">
        <f>HYPERLINK("https://klasma.github.io/Logging_2104/tillsyn/A 234-2023 tillsynsbegäran.docx", "A 234-2023")</f>
        <v/>
      </c>
      <c r="Y29">
        <f>HYPERLINK("https://klasma.github.io/Logging_2104/tillsynsmail/A 234-2023 tillsynsbegäran mail.docx", "A 234-2023")</f>
        <v/>
      </c>
    </row>
    <row r="30" ht="15" customHeight="1">
      <c r="A30" t="inlineStr">
        <is>
          <t>A 21029-2024</t>
        </is>
      </c>
      <c r="B30" s="1" t="n">
        <v>45439.6528125</v>
      </c>
      <c r="C30" s="1" t="n">
        <v>45887</v>
      </c>
      <c r="D30" t="inlineStr">
        <is>
          <t>GÄVLEBORGS LÄN</t>
        </is>
      </c>
      <c r="E30" t="inlineStr">
        <is>
          <t>HOFORS</t>
        </is>
      </c>
      <c r="F30" t="inlineStr">
        <is>
          <t>Sveaskog</t>
        </is>
      </c>
      <c r="G30" t="n">
        <v>3.9</v>
      </c>
      <c r="H30" t="n">
        <v>0</v>
      </c>
      <c r="I30" t="n">
        <v>0</v>
      </c>
      <c r="J30" t="n">
        <v>1</v>
      </c>
      <c r="K30" t="n">
        <v>0</v>
      </c>
      <c r="L30" t="n">
        <v>0</v>
      </c>
      <c r="M30" t="n">
        <v>0</v>
      </c>
      <c r="N30" t="n">
        <v>0</v>
      </c>
      <c r="O30" t="n">
        <v>1</v>
      </c>
      <c r="P30" t="n">
        <v>0</v>
      </c>
      <c r="Q30" t="n">
        <v>1</v>
      </c>
      <c r="R30" s="2" t="inlineStr">
        <is>
          <t>Mörk kolflarnlav</t>
        </is>
      </c>
      <c r="S30">
        <f>HYPERLINK("https://klasma.github.io/Logging_2104/artfynd/A 21029-2024 artfynd.xlsx", "A 21029-2024")</f>
        <v/>
      </c>
      <c r="T30">
        <f>HYPERLINK("https://klasma.github.io/Logging_2104/kartor/A 21029-2024 karta.png", "A 21029-2024")</f>
        <v/>
      </c>
      <c r="U30">
        <f>HYPERLINK("https://klasma.github.io/Logging_2104/knärot/A 21029-2024 karta knärot.png", "A 21029-2024")</f>
        <v/>
      </c>
      <c r="V30">
        <f>HYPERLINK("https://klasma.github.io/Logging_2104/klagomål/A 21029-2024 FSC-klagomål.docx", "A 21029-2024")</f>
        <v/>
      </c>
      <c r="W30">
        <f>HYPERLINK("https://klasma.github.io/Logging_2104/klagomålsmail/A 21029-2024 FSC-klagomål mail.docx", "A 21029-2024")</f>
        <v/>
      </c>
      <c r="X30">
        <f>HYPERLINK("https://klasma.github.io/Logging_2104/tillsyn/A 21029-2024 tillsynsbegäran.docx", "A 21029-2024")</f>
        <v/>
      </c>
      <c r="Y30">
        <f>HYPERLINK("https://klasma.github.io/Logging_2104/tillsynsmail/A 21029-2024 tillsynsbegäran mail.docx", "A 21029-2024")</f>
        <v/>
      </c>
    </row>
    <row r="31" ht="15" customHeight="1">
      <c r="A31" t="inlineStr">
        <is>
          <t>A 28397-2024</t>
        </is>
      </c>
      <c r="B31" s="1" t="n">
        <v>45477.60549768519</v>
      </c>
      <c r="C31" s="1" t="n">
        <v>45887</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44963-2020</t>
        </is>
      </c>
      <c r="B32" s="1" t="n">
        <v>44088</v>
      </c>
      <c r="C32" s="1" t="n">
        <v>45887</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51205-2022</t>
        </is>
      </c>
      <c r="B33" s="1" t="n">
        <v>44868.61302083333</v>
      </c>
      <c r="C33" s="1" t="n">
        <v>45887</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45887</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58322-2020</t>
        </is>
      </c>
      <c r="B35" s="1" t="n">
        <v>44145</v>
      </c>
      <c r="C35" s="1" t="n">
        <v>45887</v>
      </c>
      <c r="D35" t="inlineStr">
        <is>
          <t>GÄVLEBORGS LÄN</t>
        </is>
      </c>
      <c r="E35" t="inlineStr">
        <is>
          <t>HOFORS</t>
        </is>
      </c>
      <c r="G35" t="n">
        <v>0.5</v>
      </c>
      <c r="H35" t="n">
        <v>0</v>
      </c>
      <c r="I35" t="n">
        <v>0</v>
      </c>
      <c r="J35" t="n">
        <v>0</v>
      </c>
      <c r="K35" t="n">
        <v>0</v>
      </c>
      <c r="L35" t="n">
        <v>0</v>
      </c>
      <c r="M35" t="n">
        <v>0</v>
      </c>
      <c r="N35" t="n">
        <v>0</v>
      </c>
      <c r="O35" t="n">
        <v>0</v>
      </c>
      <c r="P35" t="n">
        <v>0</v>
      </c>
      <c r="Q35" t="n">
        <v>0</v>
      </c>
      <c r="R35" s="2" t="inlineStr"/>
    </row>
    <row r="36" ht="15" customHeight="1">
      <c r="A36" t="inlineStr">
        <is>
          <t>A 44230-2020</t>
        </is>
      </c>
      <c r="B36" s="1" t="n">
        <v>44084</v>
      </c>
      <c r="C36" s="1" t="n">
        <v>45887</v>
      </c>
      <c r="D36" t="inlineStr">
        <is>
          <t>GÄVLEBORGS LÄN</t>
        </is>
      </c>
      <c r="E36" t="inlineStr">
        <is>
          <t>HOFORS</t>
        </is>
      </c>
      <c r="G36" t="n">
        <v>9.4</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45887</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45887</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45887</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45887</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45887</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45887</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45887</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45887</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45887</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45887</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45887</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45887</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45887</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45887</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45887</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45887</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45887</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45887</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45887</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45887</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45887</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45887</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12057-2021</t>
        </is>
      </c>
      <c r="B59" s="1" t="n">
        <v>44266</v>
      </c>
      <c r="C59" s="1" t="n">
        <v>45887</v>
      </c>
      <c r="D59" t="inlineStr">
        <is>
          <t>GÄVLEBORGS LÄN</t>
        </is>
      </c>
      <c r="E59" t="inlineStr">
        <is>
          <t>HOFORS</t>
        </is>
      </c>
      <c r="G59" t="n">
        <v>2.6</v>
      </c>
      <c r="H59" t="n">
        <v>0</v>
      </c>
      <c r="I59" t="n">
        <v>0</v>
      </c>
      <c r="J59" t="n">
        <v>0</v>
      </c>
      <c r="K59" t="n">
        <v>0</v>
      </c>
      <c r="L59" t="n">
        <v>0</v>
      </c>
      <c r="M59" t="n">
        <v>0</v>
      </c>
      <c r="N59" t="n">
        <v>0</v>
      </c>
      <c r="O59" t="n">
        <v>0</v>
      </c>
      <c r="P59" t="n">
        <v>0</v>
      </c>
      <c r="Q59" t="n">
        <v>0</v>
      </c>
      <c r="R59" s="2" t="inlineStr"/>
    </row>
    <row r="60" ht="15" customHeight="1">
      <c r="A60" t="inlineStr">
        <is>
          <t>A 4032-2025</t>
        </is>
      </c>
      <c r="B60" s="1" t="n">
        <v>45684</v>
      </c>
      <c r="C60" s="1" t="n">
        <v>45887</v>
      </c>
      <c r="D60" t="inlineStr">
        <is>
          <t>GÄVLEBORGS LÄN</t>
        </is>
      </c>
      <c r="E60" t="inlineStr">
        <is>
          <t>HOFORS</t>
        </is>
      </c>
      <c r="G60" t="n">
        <v>2.7</v>
      </c>
      <c r="H60" t="n">
        <v>0</v>
      </c>
      <c r="I60" t="n">
        <v>0</v>
      </c>
      <c r="J60" t="n">
        <v>0</v>
      </c>
      <c r="K60" t="n">
        <v>0</v>
      </c>
      <c r="L60" t="n">
        <v>0</v>
      </c>
      <c r="M60" t="n">
        <v>0</v>
      </c>
      <c r="N60" t="n">
        <v>0</v>
      </c>
      <c r="O60" t="n">
        <v>0</v>
      </c>
      <c r="P60" t="n">
        <v>0</v>
      </c>
      <c r="Q60" t="n">
        <v>0</v>
      </c>
      <c r="R60" s="2" t="inlineStr"/>
    </row>
    <row r="61" ht="15" customHeight="1">
      <c r="A61" t="inlineStr">
        <is>
          <t>A 31611-2023</t>
        </is>
      </c>
      <c r="B61" s="1" t="n">
        <v>45117</v>
      </c>
      <c r="C61" s="1" t="n">
        <v>45887</v>
      </c>
      <c r="D61" t="inlineStr">
        <is>
          <t>GÄVLEBORGS LÄN</t>
        </is>
      </c>
      <c r="E61" t="inlineStr">
        <is>
          <t>HOFORS</t>
        </is>
      </c>
      <c r="G61" t="n">
        <v>4.4</v>
      </c>
      <c r="H61" t="n">
        <v>0</v>
      </c>
      <c r="I61" t="n">
        <v>0</v>
      </c>
      <c r="J61" t="n">
        <v>0</v>
      </c>
      <c r="K61" t="n">
        <v>0</v>
      </c>
      <c r="L61" t="n">
        <v>0</v>
      </c>
      <c r="M61" t="n">
        <v>0</v>
      </c>
      <c r="N61" t="n">
        <v>0</v>
      </c>
      <c r="O61" t="n">
        <v>0</v>
      </c>
      <c r="P61" t="n">
        <v>0</v>
      </c>
      <c r="Q61" t="n">
        <v>0</v>
      </c>
      <c r="R61" s="2" t="inlineStr"/>
    </row>
    <row r="62" ht="15" customHeight="1">
      <c r="A62" t="inlineStr">
        <is>
          <t>A 23376-2024</t>
        </is>
      </c>
      <c r="B62" s="1" t="n">
        <v>45453</v>
      </c>
      <c r="C62" s="1" t="n">
        <v>45887</v>
      </c>
      <c r="D62" t="inlineStr">
        <is>
          <t>GÄVLEBORGS LÄN</t>
        </is>
      </c>
      <c r="E62" t="inlineStr">
        <is>
          <t>HOFORS</t>
        </is>
      </c>
      <c r="F62" t="inlineStr">
        <is>
          <t>Sveaskog</t>
        </is>
      </c>
      <c r="G62" t="n">
        <v>10.8</v>
      </c>
      <c r="H62" t="n">
        <v>0</v>
      </c>
      <c r="I62" t="n">
        <v>0</v>
      </c>
      <c r="J62" t="n">
        <v>0</v>
      </c>
      <c r="K62" t="n">
        <v>0</v>
      </c>
      <c r="L62" t="n">
        <v>0</v>
      </c>
      <c r="M62" t="n">
        <v>0</v>
      </c>
      <c r="N62" t="n">
        <v>0</v>
      </c>
      <c r="O62" t="n">
        <v>0</v>
      </c>
      <c r="P62" t="n">
        <v>0</v>
      </c>
      <c r="Q62" t="n">
        <v>0</v>
      </c>
      <c r="R62" s="2" t="inlineStr"/>
    </row>
    <row r="63" ht="15" customHeight="1">
      <c r="A63" t="inlineStr">
        <is>
          <t>A 22226-2024</t>
        </is>
      </c>
      <c r="B63" s="1" t="n">
        <v>45446.4203587963</v>
      </c>
      <c r="C63" s="1" t="n">
        <v>45887</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15484-2024</t>
        </is>
      </c>
      <c r="B64" s="1" t="n">
        <v>45401.50483796297</v>
      </c>
      <c r="C64" s="1" t="n">
        <v>45887</v>
      </c>
      <c r="D64" t="inlineStr">
        <is>
          <t>GÄVLEBORGS LÄN</t>
        </is>
      </c>
      <c r="E64" t="inlineStr">
        <is>
          <t>HOFORS</t>
        </is>
      </c>
      <c r="F64" t="inlineStr">
        <is>
          <t>Sveaskog</t>
        </is>
      </c>
      <c r="G64" t="n">
        <v>11.6</v>
      </c>
      <c r="H64" t="n">
        <v>0</v>
      </c>
      <c r="I64" t="n">
        <v>0</v>
      </c>
      <c r="J64" t="n">
        <v>0</v>
      </c>
      <c r="K64" t="n">
        <v>0</v>
      </c>
      <c r="L64" t="n">
        <v>0</v>
      </c>
      <c r="M64" t="n">
        <v>0</v>
      </c>
      <c r="N64" t="n">
        <v>0</v>
      </c>
      <c r="O64" t="n">
        <v>0</v>
      </c>
      <c r="P64" t="n">
        <v>0</v>
      </c>
      <c r="Q64" t="n">
        <v>0</v>
      </c>
      <c r="R64" s="2" t="inlineStr"/>
    </row>
    <row r="65" ht="15" customHeight="1">
      <c r="A65" t="inlineStr">
        <is>
          <t>A 57400-2024</t>
        </is>
      </c>
      <c r="B65" s="1" t="n">
        <v>45629.71085648148</v>
      </c>
      <c r="C65" s="1" t="n">
        <v>45887</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28391-2024</t>
        </is>
      </c>
      <c r="B66" s="1" t="n">
        <v>45477.60254629629</v>
      </c>
      <c r="C66" s="1" t="n">
        <v>45887</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37744-2022</t>
        </is>
      </c>
      <c r="B67" s="1" t="n">
        <v>44810.58422453704</v>
      </c>
      <c r="C67" s="1" t="n">
        <v>45887</v>
      </c>
      <c r="D67" t="inlineStr">
        <is>
          <t>GÄVLEBORGS LÄN</t>
        </is>
      </c>
      <c r="E67" t="inlineStr">
        <is>
          <t>HOFORS</t>
        </is>
      </c>
      <c r="G67" t="n">
        <v>1.1</v>
      </c>
      <c r="H67" t="n">
        <v>0</v>
      </c>
      <c r="I67" t="n">
        <v>0</v>
      </c>
      <c r="J67" t="n">
        <v>0</v>
      </c>
      <c r="K67" t="n">
        <v>0</v>
      </c>
      <c r="L67" t="n">
        <v>0</v>
      </c>
      <c r="M67" t="n">
        <v>0</v>
      </c>
      <c r="N67" t="n">
        <v>0</v>
      </c>
      <c r="O67" t="n">
        <v>0</v>
      </c>
      <c r="P67" t="n">
        <v>0</v>
      </c>
      <c r="Q67" t="n">
        <v>0</v>
      </c>
      <c r="R67" s="2" t="inlineStr"/>
    </row>
    <row r="68" ht="15" customHeight="1">
      <c r="A68" t="inlineStr">
        <is>
          <t>A 22129-2023</t>
        </is>
      </c>
      <c r="B68" s="1" t="n">
        <v>45069</v>
      </c>
      <c r="C68" s="1" t="n">
        <v>45887</v>
      </c>
      <c r="D68" t="inlineStr">
        <is>
          <t>GÄVLEBORGS LÄN</t>
        </is>
      </c>
      <c r="E68" t="inlineStr">
        <is>
          <t>HOFORS</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47531-2021</t>
        </is>
      </c>
      <c r="B69" s="1" t="n">
        <v>44447</v>
      </c>
      <c r="C69" s="1" t="n">
        <v>45887</v>
      </c>
      <c r="D69" t="inlineStr">
        <is>
          <t>GÄVLEBORGS LÄN</t>
        </is>
      </c>
      <c r="E69" t="inlineStr">
        <is>
          <t>HOFORS</t>
        </is>
      </c>
      <c r="G69" t="n">
        <v>7.6</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45887</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20972-2025</t>
        </is>
      </c>
      <c r="B71" s="1" t="n">
        <v>45777.45725694444</v>
      </c>
      <c r="C71" s="1" t="n">
        <v>45887</v>
      </c>
      <c r="D71" t="inlineStr">
        <is>
          <t>GÄVLEBORGS LÄN</t>
        </is>
      </c>
      <c r="E71" t="inlineStr">
        <is>
          <t>HOFORS</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21340-2025</t>
        </is>
      </c>
      <c r="B72" s="1" t="n">
        <v>45782.38909722222</v>
      </c>
      <c r="C72" s="1" t="n">
        <v>45887</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1144-2024</t>
        </is>
      </c>
      <c r="B73" s="1" t="n">
        <v>45302.49138888889</v>
      </c>
      <c r="C73" s="1" t="n">
        <v>45887</v>
      </c>
      <c r="D73" t="inlineStr">
        <is>
          <t>GÄVLEBORGS LÄN</t>
        </is>
      </c>
      <c r="E73" t="inlineStr">
        <is>
          <t>HOFORS</t>
        </is>
      </c>
      <c r="G73" t="n">
        <v>0.9</v>
      </c>
      <c r="H73" t="n">
        <v>0</v>
      </c>
      <c r="I73" t="n">
        <v>0</v>
      </c>
      <c r="J73" t="n">
        <v>0</v>
      </c>
      <c r="K73" t="n">
        <v>0</v>
      </c>
      <c r="L73" t="n">
        <v>0</v>
      </c>
      <c r="M73" t="n">
        <v>0</v>
      </c>
      <c r="N73" t="n">
        <v>0</v>
      </c>
      <c r="O73" t="n">
        <v>0</v>
      </c>
      <c r="P73" t="n">
        <v>0</v>
      </c>
      <c r="Q73" t="n">
        <v>0</v>
      </c>
      <c r="R73" s="2" t="inlineStr"/>
    </row>
    <row r="74" ht="15" customHeight="1">
      <c r="A74" t="inlineStr">
        <is>
          <t>A 8510-2023</t>
        </is>
      </c>
      <c r="B74" s="1" t="n">
        <v>44977.56144675926</v>
      </c>
      <c r="C74" s="1" t="n">
        <v>45887</v>
      </c>
      <c r="D74" t="inlineStr">
        <is>
          <t>GÄVLEBORGS LÄN</t>
        </is>
      </c>
      <c r="E74" t="inlineStr">
        <is>
          <t>HOFORS</t>
        </is>
      </c>
      <c r="G74" t="n">
        <v>0.4</v>
      </c>
      <c r="H74" t="n">
        <v>0</v>
      </c>
      <c r="I74" t="n">
        <v>0</v>
      </c>
      <c r="J74" t="n">
        <v>0</v>
      </c>
      <c r="K74" t="n">
        <v>0</v>
      </c>
      <c r="L74" t="n">
        <v>0</v>
      </c>
      <c r="M74" t="n">
        <v>0</v>
      </c>
      <c r="N74" t="n">
        <v>0</v>
      </c>
      <c r="O74" t="n">
        <v>0</v>
      </c>
      <c r="P74" t="n">
        <v>0</v>
      </c>
      <c r="Q74" t="n">
        <v>0</v>
      </c>
      <c r="R74" s="2" t="inlineStr"/>
    </row>
    <row r="75" ht="15" customHeight="1">
      <c r="A75" t="inlineStr">
        <is>
          <t>A 27738-2024</t>
        </is>
      </c>
      <c r="B75" s="1" t="n">
        <v>45475.45108796296</v>
      </c>
      <c r="C75" s="1" t="n">
        <v>45887</v>
      </c>
      <c r="D75" t="inlineStr">
        <is>
          <t>GÄVLEBORGS LÄN</t>
        </is>
      </c>
      <c r="E75" t="inlineStr">
        <is>
          <t>HOFORS</t>
        </is>
      </c>
      <c r="F75" t="inlineStr">
        <is>
          <t>Bergvik skog öst AB</t>
        </is>
      </c>
      <c r="G75" t="n">
        <v>2.6</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45887</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45887</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45887</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24988-2023</t>
        </is>
      </c>
      <c r="B79" s="1" t="n">
        <v>45085.64087962963</v>
      </c>
      <c r="C79" s="1" t="n">
        <v>45887</v>
      </c>
      <c r="D79" t="inlineStr">
        <is>
          <t>GÄVLEBORGS LÄN</t>
        </is>
      </c>
      <c r="E79" t="inlineStr">
        <is>
          <t>HOFORS</t>
        </is>
      </c>
      <c r="F79" t="inlineStr">
        <is>
          <t>Sveaskog</t>
        </is>
      </c>
      <c r="G79" t="n">
        <v>1.9</v>
      </c>
      <c r="H79" t="n">
        <v>0</v>
      </c>
      <c r="I79" t="n">
        <v>0</v>
      </c>
      <c r="J79" t="n">
        <v>0</v>
      </c>
      <c r="K79" t="n">
        <v>0</v>
      </c>
      <c r="L79" t="n">
        <v>0</v>
      </c>
      <c r="M79" t="n">
        <v>0</v>
      </c>
      <c r="N79" t="n">
        <v>0</v>
      </c>
      <c r="O79" t="n">
        <v>0</v>
      </c>
      <c r="P79" t="n">
        <v>0</v>
      </c>
      <c r="Q79" t="n">
        <v>0</v>
      </c>
      <c r="R79" s="2" t="inlineStr"/>
    </row>
    <row r="80" ht="15" customHeight="1">
      <c r="A80" t="inlineStr">
        <is>
          <t>A 47524-2024</t>
        </is>
      </c>
      <c r="B80" s="1" t="n">
        <v>45587.63166666667</v>
      </c>
      <c r="C80" s="1" t="n">
        <v>45887</v>
      </c>
      <c r="D80" t="inlineStr">
        <is>
          <t>GÄVLEBORGS LÄN</t>
        </is>
      </c>
      <c r="E80" t="inlineStr">
        <is>
          <t>HOFORS</t>
        </is>
      </c>
      <c r="G80" t="n">
        <v>3.1</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45887</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35114-2023</t>
        </is>
      </c>
      <c r="B82" s="1" t="n">
        <v>45145</v>
      </c>
      <c r="C82" s="1" t="n">
        <v>45887</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35136-2023</t>
        </is>
      </c>
      <c r="B83" s="1" t="n">
        <v>45145.52915509259</v>
      </c>
      <c r="C83" s="1" t="n">
        <v>45887</v>
      </c>
      <c r="D83" t="inlineStr">
        <is>
          <t>GÄVLEBORGS LÄN</t>
        </is>
      </c>
      <c r="E83" t="inlineStr">
        <is>
          <t>HOFORS</t>
        </is>
      </c>
      <c r="G83" t="n">
        <v>2</v>
      </c>
      <c r="H83" t="n">
        <v>0</v>
      </c>
      <c r="I83" t="n">
        <v>0</v>
      </c>
      <c r="J83" t="n">
        <v>0</v>
      </c>
      <c r="K83" t="n">
        <v>0</v>
      </c>
      <c r="L83" t="n">
        <v>0</v>
      </c>
      <c r="M83" t="n">
        <v>0</v>
      </c>
      <c r="N83" t="n">
        <v>0</v>
      </c>
      <c r="O83" t="n">
        <v>0</v>
      </c>
      <c r="P83" t="n">
        <v>0</v>
      </c>
      <c r="Q83" t="n">
        <v>0</v>
      </c>
      <c r="R83" s="2" t="inlineStr"/>
    </row>
    <row r="84" ht="15" customHeight="1">
      <c r="A84" t="inlineStr">
        <is>
          <t>A 23666-2025</t>
        </is>
      </c>
      <c r="B84" s="1" t="n">
        <v>45792.84364583333</v>
      </c>
      <c r="C84" s="1" t="n">
        <v>45887</v>
      </c>
      <c r="D84" t="inlineStr">
        <is>
          <t>GÄVLEBORGS LÄN</t>
        </is>
      </c>
      <c r="E84" t="inlineStr">
        <is>
          <t>HOFORS</t>
        </is>
      </c>
      <c r="G84" t="n">
        <v>0.4</v>
      </c>
      <c r="H84" t="n">
        <v>0</v>
      </c>
      <c r="I84" t="n">
        <v>0</v>
      </c>
      <c r="J84" t="n">
        <v>0</v>
      </c>
      <c r="K84" t="n">
        <v>0</v>
      </c>
      <c r="L84" t="n">
        <v>0</v>
      </c>
      <c r="M84" t="n">
        <v>0</v>
      </c>
      <c r="N84" t="n">
        <v>0</v>
      </c>
      <c r="O84" t="n">
        <v>0</v>
      </c>
      <c r="P84" t="n">
        <v>0</v>
      </c>
      <c r="Q84" t="n">
        <v>0</v>
      </c>
      <c r="R84" s="2" t="inlineStr"/>
    </row>
    <row r="85" ht="15" customHeight="1">
      <c r="A85" t="inlineStr">
        <is>
          <t>A 53517-2024</t>
        </is>
      </c>
      <c r="B85" s="1" t="n">
        <v>45614.60436342593</v>
      </c>
      <c r="C85" s="1" t="n">
        <v>45887</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23077-2025</t>
        </is>
      </c>
      <c r="B86" s="1" t="n">
        <v>45791.00363425926</v>
      </c>
      <c r="C86" s="1" t="n">
        <v>45887</v>
      </c>
      <c r="D86" t="inlineStr">
        <is>
          <t>GÄVLEBORGS LÄN</t>
        </is>
      </c>
      <c r="E86" t="inlineStr">
        <is>
          <t>HOFORS</t>
        </is>
      </c>
      <c r="G86" t="n">
        <v>3.3</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45887</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24395-2025</t>
        </is>
      </c>
      <c r="B88" s="1" t="n">
        <v>45797.63881944444</v>
      </c>
      <c r="C88" s="1" t="n">
        <v>45887</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33981-2024</t>
        </is>
      </c>
      <c r="B89" s="1" t="n">
        <v>45523.52111111111</v>
      </c>
      <c r="C89" s="1" t="n">
        <v>45887</v>
      </c>
      <c r="D89" t="inlineStr">
        <is>
          <t>GÄVLEBORGS LÄN</t>
        </is>
      </c>
      <c r="E89" t="inlineStr">
        <is>
          <t>HOFORS</t>
        </is>
      </c>
      <c r="G89" t="n">
        <v>2.3</v>
      </c>
      <c r="H89" t="n">
        <v>0</v>
      </c>
      <c r="I89" t="n">
        <v>0</v>
      </c>
      <c r="J89" t="n">
        <v>0</v>
      </c>
      <c r="K89" t="n">
        <v>0</v>
      </c>
      <c r="L89" t="n">
        <v>0</v>
      </c>
      <c r="M89" t="n">
        <v>0</v>
      </c>
      <c r="N89" t="n">
        <v>0</v>
      </c>
      <c r="O89" t="n">
        <v>0</v>
      </c>
      <c r="P89" t="n">
        <v>0</v>
      </c>
      <c r="Q89" t="n">
        <v>0</v>
      </c>
      <c r="R89" s="2" t="inlineStr"/>
    </row>
    <row r="90" ht="15" customHeight="1">
      <c r="A90" t="inlineStr">
        <is>
          <t>A 25263-2025</t>
        </is>
      </c>
      <c r="B90" s="1" t="n">
        <v>45800.53275462963</v>
      </c>
      <c r="C90" s="1" t="n">
        <v>45887</v>
      </c>
      <c r="D90" t="inlineStr">
        <is>
          <t>GÄVLEBORGS LÄN</t>
        </is>
      </c>
      <c r="E90" t="inlineStr">
        <is>
          <t>HOFORS</t>
        </is>
      </c>
      <c r="G90" t="n">
        <v>4.2</v>
      </c>
      <c r="H90" t="n">
        <v>0</v>
      </c>
      <c r="I90" t="n">
        <v>0</v>
      </c>
      <c r="J90" t="n">
        <v>0</v>
      </c>
      <c r="K90" t="n">
        <v>0</v>
      </c>
      <c r="L90" t="n">
        <v>0</v>
      </c>
      <c r="M90" t="n">
        <v>0</v>
      </c>
      <c r="N90" t="n">
        <v>0</v>
      </c>
      <c r="O90" t="n">
        <v>0</v>
      </c>
      <c r="P90" t="n">
        <v>0</v>
      </c>
      <c r="Q90" t="n">
        <v>0</v>
      </c>
      <c r="R90" s="2" t="inlineStr"/>
    </row>
    <row r="91" ht="15" customHeight="1">
      <c r="A91" t="inlineStr">
        <is>
          <t>A 25401-2025</t>
        </is>
      </c>
      <c r="B91" s="1" t="n">
        <v>45800.65493055555</v>
      </c>
      <c r="C91" s="1" t="n">
        <v>45887</v>
      </c>
      <c r="D91" t="inlineStr">
        <is>
          <t>GÄVLEBORGS LÄN</t>
        </is>
      </c>
      <c r="E91" t="inlineStr">
        <is>
          <t>HOFORS</t>
        </is>
      </c>
      <c r="G91" t="n">
        <v>3.3</v>
      </c>
      <c r="H91" t="n">
        <v>0</v>
      </c>
      <c r="I91" t="n">
        <v>0</v>
      </c>
      <c r="J91" t="n">
        <v>0</v>
      </c>
      <c r="K91" t="n">
        <v>0</v>
      </c>
      <c r="L91" t="n">
        <v>0</v>
      </c>
      <c r="M91" t="n">
        <v>0</v>
      </c>
      <c r="N91" t="n">
        <v>0</v>
      </c>
      <c r="O91" t="n">
        <v>0</v>
      </c>
      <c r="P91" t="n">
        <v>0</v>
      </c>
      <c r="Q91" t="n">
        <v>0</v>
      </c>
      <c r="R91" s="2" t="inlineStr"/>
    </row>
    <row r="92" ht="15" customHeight="1">
      <c r="A92" t="inlineStr">
        <is>
          <t>A 37693-2023</t>
        </is>
      </c>
      <c r="B92" s="1" t="n">
        <v>45159.57056712963</v>
      </c>
      <c r="C92" s="1" t="n">
        <v>45887</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37763-2023</t>
        </is>
      </c>
      <c r="B93" s="1" t="n">
        <v>45156</v>
      </c>
      <c r="C93" s="1" t="n">
        <v>45887</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49815-2024</t>
        </is>
      </c>
      <c r="B94" s="1" t="n">
        <v>45597.39709490741</v>
      </c>
      <c r="C94" s="1" t="n">
        <v>45887</v>
      </c>
      <c r="D94" t="inlineStr">
        <is>
          <t>GÄVLEBORGS LÄN</t>
        </is>
      </c>
      <c r="E94" t="inlineStr">
        <is>
          <t>HOFORS</t>
        </is>
      </c>
      <c r="G94" t="n">
        <v>0.9</v>
      </c>
      <c r="H94" t="n">
        <v>0</v>
      </c>
      <c r="I94" t="n">
        <v>0</v>
      </c>
      <c r="J94" t="n">
        <v>0</v>
      </c>
      <c r="K94" t="n">
        <v>0</v>
      </c>
      <c r="L94" t="n">
        <v>0</v>
      </c>
      <c r="M94" t="n">
        <v>0</v>
      </c>
      <c r="N94" t="n">
        <v>0</v>
      </c>
      <c r="O94" t="n">
        <v>0</v>
      </c>
      <c r="P94" t="n">
        <v>0</v>
      </c>
      <c r="Q94" t="n">
        <v>0</v>
      </c>
      <c r="R94" s="2" t="inlineStr"/>
    </row>
    <row r="95" ht="15" customHeight="1">
      <c r="A95" t="inlineStr">
        <is>
          <t>A 54578-2024</t>
        </is>
      </c>
      <c r="B95" s="1" t="n">
        <v>45617.65644675926</v>
      </c>
      <c r="C95" s="1" t="n">
        <v>45887</v>
      </c>
      <c r="D95" t="inlineStr">
        <is>
          <t>GÄVLEBORGS LÄN</t>
        </is>
      </c>
      <c r="E95" t="inlineStr">
        <is>
          <t>HOFORS</t>
        </is>
      </c>
      <c r="G95" t="n">
        <v>3.9</v>
      </c>
      <c r="H95" t="n">
        <v>0</v>
      </c>
      <c r="I95" t="n">
        <v>0</v>
      </c>
      <c r="J95" t="n">
        <v>0</v>
      </c>
      <c r="K95" t="n">
        <v>0</v>
      </c>
      <c r="L95" t="n">
        <v>0</v>
      </c>
      <c r="M95" t="n">
        <v>0</v>
      </c>
      <c r="N95" t="n">
        <v>0</v>
      </c>
      <c r="O95" t="n">
        <v>0</v>
      </c>
      <c r="P95" t="n">
        <v>0</v>
      </c>
      <c r="Q95" t="n">
        <v>0</v>
      </c>
      <c r="R95" s="2" t="inlineStr"/>
    </row>
    <row r="96" ht="15" customHeight="1">
      <c r="A96" t="inlineStr">
        <is>
          <t>A 58240-2021</t>
        </is>
      </c>
      <c r="B96" s="1" t="n">
        <v>44487.88978009259</v>
      </c>
      <c r="C96" s="1" t="n">
        <v>45887</v>
      </c>
      <c r="D96" t="inlineStr">
        <is>
          <t>GÄVLEBORGS LÄN</t>
        </is>
      </c>
      <c r="E96" t="inlineStr">
        <is>
          <t>HOFORS</t>
        </is>
      </c>
      <c r="G96" t="n">
        <v>1.1</v>
      </c>
      <c r="H96" t="n">
        <v>0</v>
      </c>
      <c r="I96" t="n">
        <v>0</v>
      </c>
      <c r="J96" t="n">
        <v>0</v>
      </c>
      <c r="K96" t="n">
        <v>0</v>
      </c>
      <c r="L96" t="n">
        <v>0</v>
      </c>
      <c r="M96" t="n">
        <v>0</v>
      </c>
      <c r="N96" t="n">
        <v>0</v>
      </c>
      <c r="O96" t="n">
        <v>0</v>
      </c>
      <c r="P96" t="n">
        <v>0</v>
      </c>
      <c r="Q96" t="n">
        <v>0</v>
      </c>
      <c r="R96" s="2" t="inlineStr"/>
    </row>
    <row r="97" ht="15" customHeight="1">
      <c r="A97" t="inlineStr">
        <is>
          <t>A 30229-2024</t>
        </is>
      </c>
      <c r="B97" s="1" t="n">
        <v>45490.46946759259</v>
      </c>
      <c r="C97" s="1" t="n">
        <v>45887</v>
      </c>
      <c r="D97" t="inlineStr">
        <is>
          <t>GÄVLEBORGS LÄN</t>
        </is>
      </c>
      <c r="E97" t="inlineStr">
        <is>
          <t>HOFORS</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18347-2025</t>
        </is>
      </c>
      <c r="B98" s="1" t="n">
        <v>45762.52913194444</v>
      </c>
      <c r="C98" s="1" t="n">
        <v>45887</v>
      </c>
      <c r="D98" t="inlineStr">
        <is>
          <t>GÄVLEBORGS LÄN</t>
        </is>
      </c>
      <c r="E98" t="inlineStr">
        <is>
          <t>HOFORS</t>
        </is>
      </c>
      <c r="G98" t="n">
        <v>3.8</v>
      </c>
      <c r="H98" t="n">
        <v>0</v>
      </c>
      <c r="I98" t="n">
        <v>0</v>
      </c>
      <c r="J98" t="n">
        <v>0</v>
      </c>
      <c r="K98" t="n">
        <v>0</v>
      </c>
      <c r="L98" t="n">
        <v>0</v>
      </c>
      <c r="M98" t="n">
        <v>0</v>
      </c>
      <c r="N98" t="n">
        <v>0</v>
      </c>
      <c r="O98" t="n">
        <v>0</v>
      </c>
      <c r="P98" t="n">
        <v>0</v>
      </c>
      <c r="Q98" t="n">
        <v>0</v>
      </c>
      <c r="R98" s="2" t="inlineStr"/>
    </row>
    <row r="99" ht="15" customHeight="1">
      <c r="A99" t="inlineStr">
        <is>
          <t>A 10184-2022</t>
        </is>
      </c>
      <c r="B99" s="1" t="n">
        <v>44622</v>
      </c>
      <c r="C99" s="1" t="n">
        <v>45887</v>
      </c>
      <c r="D99" t="inlineStr">
        <is>
          <t>GÄVLEBORGS LÄN</t>
        </is>
      </c>
      <c r="E99" t="inlineStr">
        <is>
          <t>HOFORS</t>
        </is>
      </c>
      <c r="G99" t="n">
        <v>3</v>
      </c>
      <c r="H99" t="n">
        <v>0</v>
      </c>
      <c r="I99" t="n">
        <v>0</v>
      </c>
      <c r="J99" t="n">
        <v>0</v>
      </c>
      <c r="K99" t="n">
        <v>0</v>
      </c>
      <c r="L99" t="n">
        <v>0</v>
      </c>
      <c r="M99" t="n">
        <v>0</v>
      </c>
      <c r="N99" t="n">
        <v>0</v>
      </c>
      <c r="O99" t="n">
        <v>0</v>
      </c>
      <c r="P99" t="n">
        <v>0</v>
      </c>
      <c r="Q99" t="n">
        <v>0</v>
      </c>
      <c r="R99" s="2" t="inlineStr"/>
    </row>
    <row r="100" ht="15" customHeight="1">
      <c r="A100" t="inlineStr">
        <is>
          <t>A 3891-2025</t>
        </is>
      </c>
      <c r="B100" s="1" t="n">
        <v>45684.3690625</v>
      </c>
      <c r="C100" s="1" t="n">
        <v>45887</v>
      </c>
      <c r="D100" t="inlineStr">
        <is>
          <t>GÄVLEBORGS LÄN</t>
        </is>
      </c>
      <c r="E100" t="inlineStr">
        <is>
          <t>HOFORS</t>
        </is>
      </c>
      <c r="G100" t="n">
        <v>2.4</v>
      </c>
      <c r="H100" t="n">
        <v>0</v>
      </c>
      <c r="I100" t="n">
        <v>0</v>
      </c>
      <c r="J100" t="n">
        <v>0</v>
      </c>
      <c r="K100" t="n">
        <v>0</v>
      </c>
      <c r="L100" t="n">
        <v>0</v>
      </c>
      <c r="M100" t="n">
        <v>0</v>
      </c>
      <c r="N100" t="n">
        <v>0</v>
      </c>
      <c r="O100" t="n">
        <v>0</v>
      </c>
      <c r="P100" t="n">
        <v>0</v>
      </c>
      <c r="Q100" t="n">
        <v>0</v>
      </c>
      <c r="R100" s="2" t="inlineStr"/>
    </row>
    <row r="101" ht="15" customHeight="1">
      <c r="A101" t="inlineStr">
        <is>
          <t>A 10587-2022</t>
        </is>
      </c>
      <c r="B101" s="1" t="n">
        <v>44624</v>
      </c>
      <c r="C101" s="1" t="n">
        <v>45887</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21039-2024</t>
        </is>
      </c>
      <c r="B102" s="1" t="n">
        <v>45439</v>
      </c>
      <c r="C102" s="1" t="n">
        <v>45887</v>
      </c>
      <c r="D102" t="inlineStr">
        <is>
          <t>GÄVLEBORGS LÄN</t>
        </is>
      </c>
      <c r="E102" t="inlineStr">
        <is>
          <t>HOFORS</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25465-2024</t>
        </is>
      </c>
      <c r="B103" s="1" t="n">
        <v>45463.43416666667</v>
      </c>
      <c r="C103" s="1" t="n">
        <v>45887</v>
      </c>
      <c r="D103" t="inlineStr">
        <is>
          <t>GÄVLEBORGS LÄN</t>
        </is>
      </c>
      <c r="E103" t="inlineStr">
        <is>
          <t>HOFORS</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25476-2024</t>
        </is>
      </c>
      <c r="B104" s="1" t="n">
        <v>45463.44922453703</v>
      </c>
      <c r="C104" s="1" t="n">
        <v>45887</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62596-2023</t>
        </is>
      </c>
      <c r="B105" s="1" t="n">
        <v>45271</v>
      </c>
      <c r="C105" s="1" t="n">
        <v>45887</v>
      </c>
      <c r="D105" t="inlineStr">
        <is>
          <t>GÄVLEBORGS LÄN</t>
        </is>
      </c>
      <c r="E105" t="inlineStr">
        <is>
          <t>HOFORS</t>
        </is>
      </c>
      <c r="G105" t="n">
        <v>3.6</v>
      </c>
      <c r="H105" t="n">
        <v>0</v>
      </c>
      <c r="I105" t="n">
        <v>0</v>
      </c>
      <c r="J105" t="n">
        <v>0</v>
      </c>
      <c r="K105" t="n">
        <v>0</v>
      </c>
      <c r="L105" t="n">
        <v>0</v>
      </c>
      <c r="M105" t="n">
        <v>0</v>
      </c>
      <c r="N105" t="n">
        <v>0</v>
      </c>
      <c r="O105" t="n">
        <v>0</v>
      </c>
      <c r="P105" t="n">
        <v>0</v>
      </c>
      <c r="Q105" t="n">
        <v>0</v>
      </c>
      <c r="R105" s="2" t="inlineStr"/>
    </row>
    <row r="106" ht="15" customHeight="1">
      <c r="A106" t="inlineStr">
        <is>
          <t>A 59130-2024</t>
        </is>
      </c>
      <c r="B106" s="1" t="n">
        <v>45637</v>
      </c>
      <c r="C106" s="1" t="n">
        <v>45887</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35498-2024</t>
        </is>
      </c>
      <c r="B107" s="1" t="n">
        <v>45531.51796296296</v>
      </c>
      <c r="C107" s="1" t="n">
        <v>45887</v>
      </c>
      <c r="D107" t="inlineStr">
        <is>
          <t>GÄVLEBORGS LÄN</t>
        </is>
      </c>
      <c r="E107" t="inlineStr">
        <is>
          <t>HOFORS</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8448-2025</t>
        </is>
      </c>
      <c r="B108" s="1" t="n">
        <v>45709</v>
      </c>
      <c r="C108" s="1" t="n">
        <v>45887</v>
      </c>
      <c r="D108" t="inlineStr">
        <is>
          <t>GÄVLEBORGS LÄN</t>
        </is>
      </c>
      <c r="E108" t="inlineStr">
        <is>
          <t>HOFORS</t>
        </is>
      </c>
      <c r="G108" t="n">
        <v>1.7</v>
      </c>
      <c r="H108" t="n">
        <v>0</v>
      </c>
      <c r="I108" t="n">
        <v>0</v>
      </c>
      <c r="J108" t="n">
        <v>0</v>
      </c>
      <c r="K108" t="n">
        <v>0</v>
      </c>
      <c r="L108" t="n">
        <v>0</v>
      </c>
      <c r="M108" t="n">
        <v>0</v>
      </c>
      <c r="N108" t="n">
        <v>0</v>
      </c>
      <c r="O108" t="n">
        <v>0</v>
      </c>
      <c r="P108" t="n">
        <v>0</v>
      </c>
      <c r="Q108" t="n">
        <v>0</v>
      </c>
      <c r="R108" s="2" t="inlineStr"/>
    </row>
    <row r="109" ht="15" customHeight="1">
      <c r="A109" t="inlineStr">
        <is>
          <t>A 17762-2022</t>
        </is>
      </c>
      <c r="B109" s="1" t="n">
        <v>44680</v>
      </c>
      <c r="C109" s="1" t="n">
        <v>45887</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46278-2020</t>
        </is>
      </c>
      <c r="B110" s="1" t="n">
        <v>44092</v>
      </c>
      <c r="C110" s="1" t="n">
        <v>45887</v>
      </c>
      <c r="D110" t="inlineStr">
        <is>
          <t>GÄVLEBORGS LÄN</t>
        </is>
      </c>
      <c r="E110" t="inlineStr">
        <is>
          <t>HOFORS</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26753-2025</t>
        </is>
      </c>
      <c r="B111" s="1" t="n">
        <v>45810.55490740741</v>
      </c>
      <c r="C111" s="1" t="n">
        <v>45887</v>
      </c>
      <c r="D111" t="inlineStr">
        <is>
          <t>GÄVLEBORGS LÄN</t>
        </is>
      </c>
      <c r="E111" t="inlineStr">
        <is>
          <t>HOFORS</t>
        </is>
      </c>
      <c r="G111" t="n">
        <v>1.4</v>
      </c>
      <c r="H111" t="n">
        <v>0</v>
      </c>
      <c r="I111" t="n">
        <v>0</v>
      </c>
      <c r="J111" t="n">
        <v>0</v>
      </c>
      <c r="K111" t="n">
        <v>0</v>
      </c>
      <c r="L111" t="n">
        <v>0</v>
      </c>
      <c r="M111" t="n">
        <v>0</v>
      </c>
      <c r="N111" t="n">
        <v>0</v>
      </c>
      <c r="O111" t="n">
        <v>0</v>
      </c>
      <c r="P111" t="n">
        <v>0</v>
      </c>
      <c r="Q111" t="n">
        <v>0</v>
      </c>
      <c r="R111" s="2" t="inlineStr"/>
    </row>
    <row r="112" ht="15" customHeight="1">
      <c r="A112" t="inlineStr">
        <is>
          <t>A 41020-2023</t>
        </is>
      </c>
      <c r="B112" s="1" t="n">
        <v>45173.59236111111</v>
      </c>
      <c r="C112" s="1" t="n">
        <v>45887</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35475-2025</t>
        </is>
      </c>
      <c r="B113" s="1" t="n">
        <v>45855.67001157408</v>
      </c>
      <c r="C113" s="1" t="n">
        <v>45887</v>
      </c>
      <c r="D113" t="inlineStr">
        <is>
          <t>GÄVLEBORGS LÄN</t>
        </is>
      </c>
      <c r="E113" t="inlineStr">
        <is>
          <t>HOFORS</t>
        </is>
      </c>
      <c r="G113" t="n">
        <v>0.8</v>
      </c>
      <c r="H113" t="n">
        <v>0</v>
      </c>
      <c r="I113" t="n">
        <v>0</v>
      </c>
      <c r="J113" t="n">
        <v>0</v>
      </c>
      <c r="K113" t="n">
        <v>0</v>
      </c>
      <c r="L113" t="n">
        <v>0</v>
      </c>
      <c r="M113" t="n">
        <v>0</v>
      </c>
      <c r="N113" t="n">
        <v>0</v>
      </c>
      <c r="O113" t="n">
        <v>0</v>
      </c>
      <c r="P113" t="n">
        <v>0</v>
      </c>
      <c r="Q113" t="n">
        <v>0</v>
      </c>
      <c r="R113" s="2" t="inlineStr"/>
    </row>
    <row r="114" ht="15" customHeight="1">
      <c r="A114" t="inlineStr">
        <is>
          <t>A 27438-2025</t>
        </is>
      </c>
      <c r="B114" s="1" t="n">
        <v>45813.3143287037</v>
      </c>
      <c r="C114" s="1" t="n">
        <v>45887</v>
      </c>
      <c r="D114" t="inlineStr">
        <is>
          <t>GÄVLEBORGS LÄN</t>
        </is>
      </c>
      <c r="E114" t="inlineStr">
        <is>
          <t>HOFORS</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35473-2025</t>
        </is>
      </c>
      <c r="B115" s="1" t="n">
        <v>45855.66804398148</v>
      </c>
      <c r="C115" s="1" t="n">
        <v>45887</v>
      </c>
      <c r="D115" t="inlineStr">
        <is>
          <t>GÄVLEBORGS LÄN</t>
        </is>
      </c>
      <c r="E115" t="inlineStr">
        <is>
          <t>HOFORS</t>
        </is>
      </c>
      <c r="G115" t="n">
        <v>3.3</v>
      </c>
      <c r="H115" t="n">
        <v>0</v>
      </c>
      <c r="I115" t="n">
        <v>0</v>
      </c>
      <c r="J115" t="n">
        <v>0</v>
      </c>
      <c r="K115" t="n">
        <v>0</v>
      </c>
      <c r="L115" t="n">
        <v>0</v>
      </c>
      <c r="M115" t="n">
        <v>0</v>
      </c>
      <c r="N115" t="n">
        <v>0</v>
      </c>
      <c r="O115" t="n">
        <v>0</v>
      </c>
      <c r="P115" t="n">
        <v>0</v>
      </c>
      <c r="Q115" t="n">
        <v>0</v>
      </c>
      <c r="R115" s="2" t="inlineStr"/>
    </row>
    <row r="116" ht="15" customHeight="1">
      <c r="A116" t="inlineStr">
        <is>
          <t>A 27432-2025</t>
        </is>
      </c>
      <c r="B116" s="1" t="n">
        <v>45813</v>
      </c>
      <c r="C116" s="1" t="n">
        <v>45887</v>
      </c>
      <c r="D116" t="inlineStr">
        <is>
          <t>GÄVLEBORGS LÄN</t>
        </is>
      </c>
      <c r="E116" t="inlineStr">
        <is>
          <t>HOFORS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27441-2025</t>
        </is>
      </c>
      <c r="B117" s="1" t="n">
        <v>45813.31630787037</v>
      </c>
      <c r="C117" s="1" t="n">
        <v>45887</v>
      </c>
      <c r="D117" t="inlineStr">
        <is>
          <t>GÄVLEBORGS LÄN</t>
        </is>
      </c>
      <c r="E117" t="inlineStr">
        <is>
          <t>HOFORS</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27431-2025</t>
        </is>
      </c>
      <c r="B118" s="1" t="n">
        <v>45813</v>
      </c>
      <c r="C118" s="1" t="n">
        <v>45887</v>
      </c>
      <c r="D118" t="inlineStr">
        <is>
          <t>GÄVLEBORGS LÄN</t>
        </is>
      </c>
      <c r="E118" t="inlineStr">
        <is>
          <t>HOFORS</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27436-2025</t>
        </is>
      </c>
      <c r="B119" s="1" t="n">
        <v>45813</v>
      </c>
      <c r="C119" s="1" t="n">
        <v>45887</v>
      </c>
      <c r="D119" t="inlineStr">
        <is>
          <t>GÄVLEBORGS LÄN</t>
        </is>
      </c>
      <c r="E119" t="inlineStr">
        <is>
          <t>HOFORS</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33296-2023</t>
        </is>
      </c>
      <c r="B120" s="1" t="n">
        <v>45127.69603009259</v>
      </c>
      <c r="C120" s="1" t="n">
        <v>45887</v>
      </c>
      <c r="D120" t="inlineStr">
        <is>
          <t>GÄVLEBORGS LÄN</t>
        </is>
      </c>
      <c r="E120" t="inlineStr">
        <is>
          <t>HOFORS</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27959-2025</t>
        </is>
      </c>
      <c r="B121" s="1" t="n">
        <v>45816</v>
      </c>
      <c r="C121" s="1" t="n">
        <v>45887</v>
      </c>
      <c r="D121" t="inlineStr">
        <is>
          <t>GÄVLEBORGS LÄN</t>
        </is>
      </c>
      <c r="E121" t="inlineStr">
        <is>
          <t>HOFORS</t>
        </is>
      </c>
      <c r="F121" t="inlineStr">
        <is>
          <t>Bergvik skog väst AB</t>
        </is>
      </c>
      <c r="G121" t="n">
        <v>45.6</v>
      </c>
      <c r="H121" t="n">
        <v>0</v>
      </c>
      <c r="I121" t="n">
        <v>0</v>
      </c>
      <c r="J121" t="n">
        <v>0</v>
      </c>
      <c r="K121" t="n">
        <v>0</v>
      </c>
      <c r="L121" t="n">
        <v>0</v>
      </c>
      <c r="M121" t="n">
        <v>0</v>
      </c>
      <c r="N121" t="n">
        <v>0</v>
      </c>
      <c r="O121" t="n">
        <v>0</v>
      </c>
      <c r="P121" t="n">
        <v>0</v>
      </c>
      <c r="Q121" t="n">
        <v>0</v>
      </c>
      <c r="R121" s="2" t="inlineStr"/>
    </row>
    <row r="122" ht="15" customHeight="1">
      <c r="A122" t="inlineStr">
        <is>
          <t>A 30007-2024</t>
        </is>
      </c>
      <c r="B122" s="1" t="n">
        <v>45488.60150462963</v>
      </c>
      <c r="C122" s="1" t="n">
        <v>45887</v>
      </c>
      <c r="D122" t="inlineStr">
        <is>
          <t>GÄVLEBORGS LÄN</t>
        </is>
      </c>
      <c r="E122" t="inlineStr">
        <is>
          <t>HOFORS</t>
        </is>
      </c>
      <c r="F122" t="inlineStr">
        <is>
          <t>Sveaskog</t>
        </is>
      </c>
      <c r="G122" t="n">
        <v>11.5</v>
      </c>
      <c r="H122" t="n">
        <v>0</v>
      </c>
      <c r="I122" t="n">
        <v>0</v>
      </c>
      <c r="J122" t="n">
        <v>0</v>
      </c>
      <c r="K122" t="n">
        <v>0</v>
      </c>
      <c r="L122" t="n">
        <v>0</v>
      </c>
      <c r="M122" t="n">
        <v>0</v>
      </c>
      <c r="N122" t="n">
        <v>0</v>
      </c>
      <c r="O122" t="n">
        <v>0</v>
      </c>
      <c r="P122" t="n">
        <v>0</v>
      </c>
      <c r="Q122" t="n">
        <v>0</v>
      </c>
      <c r="R122" s="2" t="inlineStr"/>
    </row>
    <row r="123" ht="15" customHeight="1">
      <c r="A123" t="inlineStr">
        <is>
          <t>A 30009-2024</t>
        </is>
      </c>
      <c r="B123" s="1" t="n">
        <v>45488.60546296297</v>
      </c>
      <c r="C123" s="1" t="n">
        <v>45887</v>
      </c>
      <c r="D123" t="inlineStr">
        <is>
          <t>GÄVLEBORGS LÄN</t>
        </is>
      </c>
      <c r="E123" t="inlineStr">
        <is>
          <t>HOFORS</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58369-2023</t>
        </is>
      </c>
      <c r="B124" s="1" t="n">
        <v>45250</v>
      </c>
      <c r="C124" s="1" t="n">
        <v>45887</v>
      </c>
      <c r="D124" t="inlineStr">
        <is>
          <t>GÄVLEBORGS LÄN</t>
        </is>
      </c>
      <c r="E124" t="inlineStr">
        <is>
          <t>HOFORS</t>
        </is>
      </c>
      <c r="G124" t="n">
        <v>2.1</v>
      </c>
      <c r="H124" t="n">
        <v>0</v>
      </c>
      <c r="I124" t="n">
        <v>0</v>
      </c>
      <c r="J124" t="n">
        <v>0</v>
      </c>
      <c r="K124" t="n">
        <v>0</v>
      </c>
      <c r="L124" t="n">
        <v>0</v>
      </c>
      <c r="M124" t="n">
        <v>0</v>
      </c>
      <c r="N124" t="n">
        <v>0</v>
      </c>
      <c r="O124" t="n">
        <v>0</v>
      </c>
      <c r="P124" t="n">
        <v>0</v>
      </c>
      <c r="Q124" t="n">
        <v>0</v>
      </c>
      <c r="R124" s="2" t="inlineStr"/>
    </row>
    <row r="125" ht="15" customHeight="1">
      <c r="A125" t="inlineStr">
        <is>
          <t>A 25477-2024</t>
        </is>
      </c>
      <c r="B125" s="1" t="n">
        <v>45463.45015046297</v>
      </c>
      <c r="C125" s="1" t="n">
        <v>45887</v>
      </c>
      <c r="D125" t="inlineStr">
        <is>
          <t>GÄVLEBORGS LÄN</t>
        </is>
      </c>
      <c r="E125" t="inlineStr">
        <is>
          <t>HOFORS</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43726-2023</t>
        </is>
      </c>
      <c r="B126" s="1" t="n">
        <v>45187</v>
      </c>
      <c r="C126" s="1" t="n">
        <v>45887</v>
      </c>
      <c r="D126" t="inlineStr">
        <is>
          <t>GÄVLEBORGS LÄN</t>
        </is>
      </c>
      <c r="E126" t="inlineStr">
        <is>
          <t>HOFORS</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13471-2024</t>
        </is>
      </c>
      <c r="B127" s="1" t="n">
        <v>45387.57859953704</v>
      </c>
      <c r="C127" s="1" t="n">
        <v>45887</v>
      </c>
      <c r="D127" t="inlineStr">
        <is>
          <t>GÄVLEBORGS LÄN</t>
        </is>
      </c>
      <c r="E127" t="inlineStr">
        <is>
          <t>HOFORS</t>
        </is>
      </c>
      <c r="G127" t="n">
        <v>2.9</v>
      </c>
      <c r="H127" t="n">
        <v>0</v>
      </c>
      <c r="I127" t="n">
        <v>0</v>
      </c>
      <c r="J127" t="n">
        <v>0</v>
      </c>
      <c r="K127" t="n">
        <v>0</v>
      </c>
      <c r="L127" t="n">
        <v>0</v>
      </c>
      <c r="M127" t="n">
        <v>0</v>
      </c>
      <c r="N127" t="n">
        <v>0</v>
      </c>
      <c r="O127" t="n">
        <v>0</v>
      </c>
      <c r="P127" t="n">
        <v>0</v>
      </c>
      <c r="Q127" t="n">
        <v>0</v>
      </c>
      <c r="R127" s="2" t="inlineStr"/>
    </row>
    <row r="128" ht="15" customHeight="1">
      <c r="A128" t="inlineStr">
        <is>
          <t>A 58787-2021</t>
        </is>
      </c>
      <c r="B128" s="1" t="n">
        <v>44489.56234953704</v>
      </c>
      <c r="C128" s="1" t="n">
        <v>45887</v>
      </c>
      <c r="D128" t="inlineStr">
        <is>
          <t>GÄVLEBORGS LÄN</t>
        </is>
      </c>
      <c r="E128" t="inlineStr">
        <is>
          <t>HOFORS</t>
        </is>
      </c>
      <c r="G128" t="n">
        <v>1.1</v>
      </c>
      <c r="H128" t="n">
        <v>0</v>
      </c>
      <c r="I128" t="n">
        <v>0</v>
      </c>
      <c r="J128" t="n">
        <v>0</v>
      </c>
      <c r="K128" t="n">
        <v>0</v>
      </c>
      <c r="L128" t="n">
        <v>0</v>
      </c>
      <c r="M128" t="n">
        <v>0</v>
      </c>
      <c r="N128" t="n">
        <v>0</v>
      </c>
      <c r="O128" t="n">
        <v>0</v>
      </c>
      <c r="P128" t="n">
        <v>0</v>
      </c>
      <c r="Q128" t="n">
        <v>0</v>
      </c>
      <c r="R128" s="2" t="inlineStr"/>
    </row>
    <row r="129" ht="15" customHeight="1">
      <c r="A129" t="inlineStr">
        <is>
          <t>A 23545-2025</t>
        </is>
      </c>
      <c r="B129" s="1" t="n">
        <v>45792</v>
      </c>
      <c r="C129" s="1" t="n">
        <v>45887</v>
      </c>
      <c r="D129" t="inlineStr">
        <is>
          <t>GÄVLEBORGS LÄN</t>
        </is>
      </c>
      <c r="E129" t="inlineStr">
        <is>
          <t>HOFORS</t>
        </is>
      </c>
      <c r="G129" t="n">
        <v>3.5</v>
      </c>
      <c r="H129" t="n">
        <v>0</v>
      </c>
      <c r="I129" t="n">
        <v>0</v>
      </c>
      <c r="J129" t="n">
        <v>0</v>
      </c>
      <c r="K129" t="n">
        <v>0</v>
      </c>
      <c r="L129" t="n">
        <v>0</v>
      </c>
      <c r="M129" t="n">
        <v>0</v>
      </c>
      <c r="N129" t="n">
        <v>0</v>
      </c>
      <c r="O129" t="n">
        <v>0</v>
      </c>
      <c r="P129" t="n">
        <v>0</v>
      </c>
      <c r="Q129" t="n">
        <v>0</v>
      </c>
      <c r="R129" s="2" t="inlineStr"/>
    </row>
    <row r="130" ht="15" customHeight="1">
      <c r="A130" t="inlineStr">
        <is>
          <t>A 36180-2025</t>
        </is>
      </c>
      <c r="B130" s="1" t="n">
        <v>45867.41327546296</v>
      </c>
      <c r="C130" s="1" t="n">
        <v>45887</v>
      </c>
      <c r="D130" t="inlineStr">
        <is>
          <t>GÄVLEBORGS LÄN</t>
        </is>
      </c>
      <c r="E130" t="inlineStr">
        <is>
          <t>HOFORS</t>
        </is>
      </c>
      <c r="G130" t="n">
        <v>11.7</v>
      </c>
      <c r="H130" t="n">
        <v>0</v>
      </c>
      <c r="I130" t="n">
        <v>0</v>
      </c>
      <c r="J130" t="n">
        <v>0</v>
      </c>
      <c r="K130" t="n">
        <v>0</v>
      </c>
      <c r="L130" t="n">
        <v>0</v>
      </c>
      <c r="M130" t="n">
        <v>0</v>
      </c>
      <c r="N130" t="n">
        <v>0</v>
      </c>
      <c r="O130" t="n">
        <v>0</v>
      </c>
      <c r="P130" t="n">
        <v>0</v>
      </c>
      <c r="Q130" t="n">
        <v>0</v>
      </c>
      <c r="R130" s="2" t="inlineStr"/>
    </row>
    <row r="131" ht="15" customHeight="1">
      <c r="A131" t="inlineStr">
        <is>
          <t>A 13745-2023</t>
        </is>
      </c>
      <c r="B131" s="1" t="n">
        <v>45007</v>
      </c>
      <c r="C131" s="1" t="n">
        <v>45887</v>
      </c>
      <c r="D131" t="inlineStr">
        <is>
          <t>GÄVLEBORGS LÄN</t>
        </is>
      </c>
      <c r="E131" t="inlineStr">
        <is>
          <t>HOFORS</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6963-2024</t>
        </is>
      </c>
      <c r="B132" s="1" t="n">
        <v>45343.4562037037</v>
      </c>
      <c r="C132" s="1" t="n">
        <v>45887</v>
      </c>
      <c r="D132" t="inlineStr">
        <is>
          <t>GÄVLEBORGS LÄN</t>
        </is>
      </c>
      <c r="E132" t="inlineStr">
        <is>
          <t>HOFORS</t>
        </is>
      </c>
      <c r="G132" t="n">
        <v>2.4</v>
      </c>
      <c r="H132" t="n">
        <v>0</v>
      </c>
      <c r="I132" t="n">
        <v>0</v>
      </c>
      <c r="J132" t="n">
        <v>0</v>
      </c>
      <c r="K132" t="n">
        <v>0</v>
      </c>
      <c r="L132" t="n">
        <v>0</v>
      </c>
      <c r="M132" t="n">
        <v>0</v>
      </c>
      <c r="N132" t="n">
        <v>0</v>
      </c>
      <c r="O132" t="n">
        <v>0</v>
      </c>
      <c r="P132" t="n">
        <v>0</v>
      </c>
      <c r="Q132" t="n">
        <v>0</v>
      </c>
      <c r="R132" s="2" t="inlineStr"/>
    </row>
    <row r="133" ht="15" customHeight="1">
      <c r="A133" t="inlineStr">
        <is>
          <t>A 31645-2024</t>
        </is>
      </c>
      <c r="B133" s="1" t="n">
        <v>45506.60777777778</v>
      </c>
      <c r="C133" s="1" t="n">
        <v>45887</v>
      </c>
      <c r="D133" t="inlineStr">
        <is>
          <t>GÄVLEBORGS LÄN</t>
        </is>
      </c>
      <c r="E133" t="inlineStr">
        <is>
          <t>HOFORS</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26302-2025</t>
        </is>
      </c>
      <c r="B134" s="1" t="n">
        <v>45805</v>
      </c>
      <c r="C134" s="1" t="n">
        <v>45887</v>
      </c>
      <c r="D134" t="inlineStr">
        <is>
          <t>GÄVLEBORGS LÄN</t>
        </is>
      </c>
      <c r="E134" t="inlineStr">
        <is>
          <t>HOFORS</t>
        </is>
      </c>
      <c r="G134" t="n">
        <v>5.3</v>
      </c>
      <c r="H134" t="n">
        <v>0</v>
      </c>
      <c r="I134" t="n">
        <v>0</v>
      </c>
      <c r="J134" t="n">
        <v>0</v>
      </c>
      <c r="K134" t="n">
        <v>0</v>
      </c>
      <c r="L134" t="n">
        <v>0</v>
      </c>
      <c r="M134" t="n">
        <v>0</v>
      </c>
      <c r="N134" t="n">
        <v>0</v>
      </c>
      <c r="O134" t="n">
        <v>0</v>
      </c>
      <c r="P134" t="n">
        <v>0</v>
      </c>
      <c r="Q134" t="n">
        <v>0</v>
      </c>
      <c r="R134" s="2" t="inlineStr"/>
    </row>
    <row r="135" ht="15" customHeight="1">
      <c r="A135" t="inlineStr">
        <is>
          <t>A 17179-2025</t>
        </is>
      </c>
      <c r="B135" s="1" t="n">
        <v>45755</v>
      </c>
      <c r="C135" s="1" t="n">
        <v>45887</v>
      </c>
      <c r="D135" t="inlineStr">
        <is>
          <t>GÄVLEBORGS LÄN</t>
        </is>
      </c>
      <c r="E135" t="inlineStr">
        <is>
          <t>HOFORS</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36349-2025</t>
        </is>
      </c>
      <c r="B136" s="1" t="n">
        <v>45868.48269675926</v>
      </c>
      <c r="C136" s="1" t="n">
        <v>45887</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58955-2023</t>
        </is>
      </c>
      <c r="B137" s="1" t="n">
        <v>45252</v>
      </c>
      <c r="C137" s="1" t="n">
        <v>45887</v>
      </c>
      <c r="D137" t="inlineStr">
        <is>
          <t>GÄVLEBORGS LÄN</t>
        </is>
      </c>
      <c r="E137" t="inlineStr">
        <is>
          <t>HOFORS</t>
        </is>
      </c>
      <c r="G137" t="n">
        <v>1.4</v>
      </c>
      <c r="H137" t="n">
        <v>0</v>
      </c>
      <c r="I137" t="n">
        <v>0</v>
      </c>
      <c r="J137" t="n">
        <v>0</v>
      </c>
      <c r="K137" t="n">
        <v>0</v>
      </c>
      <c r="L137" t="n">
        <v>0</v>
      </c>
      <c r="M137" t="n">
        <v>0</v>
      </c>
      <c r="N137" t="n">
        <v>0</v>
      </c>
      <c r="O137" t="n">
        <v>0</v>
      </c>
      <c r="P137" t="n">
        <v>0</v>
      </c>
      <c r="Q137" t="n">
        <v>0</v>
      </c>
      <c r="R137" s="2" t="inlineStr"/>
    </row>
    <row r="138" ht="15" customHeight="1">
      <c r="A138" t="inlineStr">
        <is>
          <t>A 64359-2023</t>
        </is>
      </c>
      <c r="B138" s="1" t="n">
        <v>45280</v>
      </c>
      <c r="C138" s="1" t="n">
        <v>45887</v>
      </c>
      <c r="D138" t="inlineStr">
        <is>
          <t>GÄVLEBORGS LÄN</t>
        </is>
      </c>
      <c r="E138" t="inlineStr">
        <is>
          <t>HOFORS</t>
        </is>
      </c>
      <c r="G138" t="n">
        <v>4.7</v>
      </c>
      <c r="H138" t="n">
        <v>0</v>
      </c>
      <c r="I138" t="n">
        <v>0</v>
      </c>
      <c r="J138" t="n">
        <v>0</v>
      </c>
      <c r="K138" t="n">
        <v>0</v>
      </c>
      <c r="L138" t="n">
        <v>0</v>
      </c>
      <c r="M138" t="n">
        <v>0</v>
      </c>
      <c r="N138" t="n">
        <v>0</v>
      </c>
      <c r="O138" t="n">
        <v>0</v>
      </c>
      <c r="P138" t="n">
        <v>0</v>
      </c>
      <c r="Q138" t="n">
        <v>0</v>
      </c>
      <c r="R138" s="2" t="inlineStr"/>
    </row>
    <row r="139" ht="15" customHeight="1">
      <c r="A139" t="inlineStr">
        <is>
          <t>A 58373-2023</t>
        </is>
      </c>
      <c r="B139" s="1" t="n">
        <v>45250.65805555556</v>
      </c>
      <c r="C139" s="1" t="n">
        <v>45887</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68397-2020</t>
        </is>
      </c>
      <c r="B140" s="1" t="n">
        <v>44186</v>
      </c>
      <c r="C140" s="1" t="n">
        <v>45887</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37012-2025</t>
        </is>
      </c>
      <c r="B141" s="1" t="n">
        <v>45874.7066550926</v>
      </c>
      <c r="C141" s="1" t="n">
        <v>45887</v>
      </c>
      <c r="D141" t="inlineStr">
        <is>
          <t>GÄVLEBORGS LÄN</t>
        </is>
      </c>
      <c r="E141" t="inlineStr">
        <is>
          <t>HOFORS</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30495-2025</t>
        </is>
      </c>
      <c r="B142" s="1" t="n">
        <v>45830.63542824074</v>
      </c>
      <c r="C142" s="1" t="n">
        <v>45887</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38251-2022</t>
        </is>
      </c>
      <c r="B143" s="1" t="n">
        <v>44812.4874537037</v>
      </c>
      <c r="C143" s="1" t="n">
        <v>45887</v>
      </c>
      <c r="D143" t="inlineStr">
        <is>
          <t>GÄVLEBORGS LÄN</t>
        </is>
      </c>
      <c r="E143" t="inlineStr">
        <is>
          <t>HOFORS</t>
        </is>
      </c>
      <c r="G143" t="n">
        <v>3.5</v>
      </c>
      <c r="H143" t="n">
        <v>0</v>
      </c>
      <c r="I143" t="n">
        <v>0</v>
      </c>
      <c r="J143" t="n">
        <v>0</v>
      </c>
      <c r="K143" t="n">
        <v>0</v>
      </c>
      <c r="L143" t="n">
        <v>0</v>
      </c>
      <c r="M143" t="n">
        <v>0</v>
      </c>
      <c r="N143" t="n">
        <v>0</v>
      </c>
      <c r="O143" t="n">
        <v>0</v>
      </c>
      <c r="P143" t="n">
        <v>0</v>
      </c>
      <c r="Q143" t="n">
        <v>0</v>
      </c>
      <c r="R143" s="2" t="inlineStr"/>
    </row>
    <row r="144" ht="15" customHeight="1">
      <c r="A144" t="inlineStr">
        <is>
          <t>A 54149-2023</t>
        </is>
      </c>
      <c r="B144" s="1" t="n">
        <v>45232.4528125</v>
      </c>
      <c r="C144" s="1" t="n">
        <v>45887</v>
      </c>
      <c r="D144" t="inlineStr">
        <is>
          <t>GÄVLEBORGS LÄN</t>
        </is>
      </c>
      <c r="E144" t="inlineStr">
        <is>
          <t>HOFORS</t>
        </is>
      </c>
      <c r="G144" t="n">
        <v>4.6</v>
      </c>
      <c r="H144" t="n">
        <v>0</v>
      </c>
      <c r="I144" t="n">
        <v>0</v>
      </c>
      <c r="J144" t="n">
        <v>0</v>
      </c>
      <c r="K144" t="n">
        <v>0</v>
      </c>
      <c r="L144" t="n">
        <v>0</v>
      </c>
      <c r="M144" t="n">
        <v>0</v>
      </c>
      <c r="N144" t="n">
        <v>0</v>
      </c>
      <c r="O144" t="n">
        <v>0</v>
      </c>
      <c r="P144" t="n">
        <v>0</v>
      </c>
      <c r="Q144" t="n">
        <v>0</v>
      </c>
      <c r="R144" s="2" t="inlineStr"/>
    </row>
    <row r="145" ht="15" customHeight="1">
      <c r="A145" t="inlineStr">
        <is>
          <t>A 31471-2025</t>
        </is>
      </c>
      <c r="B145" s="1" t="n">
        <v>45833.56436342592</v>
      </c>
      <c r="C145" s="1" t="n">
        <v>45887</v>
      </c>
      <c r="D145" t="inlineStr">
        <is>
          <t>GÄVLEBORGS LÄN</t>
        </is>
      </c>
      <c r="E145" t="inlineStr">
        <is>
          <t>HOFORS</t>
        </is>
      </c>
      <c r="G145" t="n">
        <v>1.6</v>
      </c>
      <c r="H145" t="n">
        <v>0</v>
      </c>
      <c r="I145" t="n">
        <v>0</v>
      </c>
      <c r="J145" t="n">
        <v>0</v>
      </c>
      <c r="K145" t="n">
        <v>0</v>
      </c>
      <c r="L145" t="n">
        <v>0</v>
      </c>
      <c r="M145" t="n">
        <v>0</v>
      </c>
      <c r="N145" t="n">
        <v>0</v>
      </c>
      <c r="O145" t="n">
        <v>0</v>
      </c>
      <c r="P145" t="n">
        <v>0</v>
      </c>
      <c r="Q145" t="n">
        <v>0</v>
      </c>
      <c r="R145" s="2" t="inlineStr"/>
    </row>
    <row r="146" ht="15" customHeight="1">
      <c r="A146" t="inlineStr">
        <is>
          <t>A 32299-2025</t>
        </is>
      </c>
      <c r="B146" s="1" t="n">
        <v>45835</v>
      </c>
      <c r="C146" s="1" t="n">
        <v>45887</v>
      </c>
      <c r="D146" t="inlineStr">
        <is>
          <t>GÄVLEBORGS LÄN</t>
        </is>
      </c>
      <c r="E146" t="inlineStr">
        <is>
          <t>HOFORS</t>
        </is>
      </c>
      <c r="F146" t="inlineStr">
        <is>
          <t>Bergvik skog väst AB</t>
        </is>
      </c>
      <c r="G146" t="n">
        <v>12.8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44432.39119212963</v>
      </c>
      <c r="C147" s="1" t="n">
        <v>45887</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45887</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45887</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68079-2021</t>
        </is>
      </c>
      <c r="B150" s="1" t="n">
        <v>44526.31943287037</v>
      </c>
      <c r="C150" s="1" t="n">
        <v>45887</v>
      </c>
      <c r="D150" t="inlineStr">
        <is>
          <t>GÄVLEBORGS LÄN</t>
        </is>
      </c>
      <c r="E150" t="inlineStr">
        <is>
          <t>HOFORS</t>
        </is>
      </c>
      <c r="G150" t="n">
        <v>2.3</v>
      </c>
      <c r="H150" t="n">
        <v>0</v>
      </c>
      <c r="I150" t="n">
        <v>0</v>
      </c>
      <c r="J150" t="n">
        <v>0</v>
      </c>
      <c r="K150" t="n">
        <v>0</v>
      </c>
      <c r="L150" t="n">
        <v>0</v>
      </c>
      <c r="M150" t="n">
        <v>0</v>
      </c>
      <c r="N150" t="n">
        <v>0</v>
      </c>
      <c r="O150" t="n">
        <v>0</v>
      </c>
      <c r="P150" t="n">
        <v>0</v>
      </c>
      <c r="Q150" t="n">
        <v>0</v>
      </c>
      <c r="R150" s="2" t="inlineStr"/>
    </row>
    <row r="151" ht="15" customHeight="1">
      <c r="A151" t="inlineStr">
        <is>
          <t>A 37988-2025</t>
        </is>
      </c>
      <c r="B151" s="1" t="n">
        <v>45881.70454861111</v>
      </c>
      <c r="C151" s="1" t="n">
        <v>45887</v>
      </c>
      <c r="D151" t="inlineStr">
        <is>
          <t>GÄVLEBORGS LÄN</t>
        </is>
      </c>
      <c r="E151" t="inlineStr">
        <is>
          <t>HOFORS</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48063-2024</t>
        </is>
      </c>
      <c r="B152" s="1" t="n">
        <v>45589.55237268518</v>
      </c>
      <c r="C152" s="1" t="n">
        <v>45887</v>
      </c>
      <c r="D152" t="inlineStr">
        <is>
          <t>GÄVLEBORGS LÄN</t>
        </is>
      </c>
      <c r="E152" t="inlineStr">
        <is>
          <t>HOFORS</t>
        </is>
      </c>
      <c r="G152" t="n">
        <v>3.9</v>
      </c>
      <c r="H152" t="n">
        <v>0</v>
      </c>
      <c r="I152" t="n">
        <v>0</v>
      </c>
      <c r="J152" t="n">
        <v>0</v>
      </c>
      <c r="K152" t="n">
        <v>0</v>
      </c>
      <c r="L152" t="n">
        <v>0</v>
      </c>
      <c r="M152" t="n">
        <v>0</v>
      </c>
      <c r="N152" t="n">
        <v>0</v>
      </c>
      <c r="O152" t="n">
        <v>0</v>
      </c>
      <c r="P152" t="n">
        <v>0</v>
      </c>
      <c r="Q152" t="n">
        <v>0</v>
      </c>
      <c r="R152" s="2" t="inlineStr"/>
    </row>
    <row r="153" ht="15" customHeight="1">
      <c r="A153" t="inlineStr">
        <is>
          <t>A 33979-2024</t>
        </is>
      </c>
      <c r="B153" s="1" t="n">
        <v>45523.51896990741</v>
      </c>
      <c r="C153" s="1" t="n">
        <v>45887</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16371-2022</t>
        </is>
      </c>
      <c r="B154" s="1" t="n">
        <v>44671</v>
      </c>
      <c r="C154" s="1" t="n">
        <v>45887</v>
      </c>
      <c r="D154" t="inlineStr">
        <is>
          <t>GÄVLEBORGS LÄN</t>
        </is>
      </c>
      <c r="E154" t="inlineStr">
        <is>
          <t>HOFORS</t>
        </is>
      </c>
      <c r="G154" t="n">
        <v>0.8</v>
      </c>
      <c r="H154" t="n">
        <v>0</v>
      </c>
      <c r="I154" t="n">
        <v>0</v>
      </c>
      <c r="J154" t="n">
        <v>0</v>
      </c>
      <c r="K154" t="n">
        <v>0</v>
      </c>
      <c r="L154" t="n">
        <v>0</v>
      </c>
      <c r="M154" t="n">
        <v>0</v>
      </c>
      <c r="N154" t="n">
        <v>0</v>
      </c>
      <c r="O154" t="n">
        <v>0</v>
      </c>
      <c r="P154" t="n">
        <v>0</v>
      </c>
      <c r="Q154" t="n">
        <v>0</v>
      </c>
      <c r="R154" s="2" t="inlineStr"/>
    </row>
    <row r="155" ht="15" customHeight="1">
      <c r="A155" t="inlineStr">
        <is>
          <t>A 10740-2025</t>
        </is>
      </c>
      <c r="B155" s="1" t="n">
        <v>45722.41008101852</v>
      </c>
      <c r="C155" s="1" t="n">
        <v>45887</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47359-2024</t>
        </is>
      </c>
      <c r="B156" s="1" t="n">
        <v>45587.43547453704</v>
      </c>
      <c r="C156" s="1" t="n">
        <v>45887</v>
      </c>
      <c r="D156" t="inlineStr">
        <is>
          <t>GÄVLEBORGS LÄN</t>
        </is>
      </c>
      <c r="E156" t="inlineStr">
        <is>
          <t>HOFORS</t>
        </is>
      </c>
      <c r="G156" t="n">
        <v>1.2</v>
      </c>
      <c r="H156" t="n">
        <v>0</v>
      </c>
      <c r="I156" t="n">
        <v>0</v>
      </c>
      <c r="J156" t="n">
        <v>0</v>
      </c>
      <c r="K156" t="n">
        <v>0</v>
      </c>
      <c r="L156" t="n">
        <v>0</v>
      </c>
      <c r="M156" t="n">
        <v>0</v>
      </c>
      <c r="N156" t="n">
        <v>0</v>
      </c>
      <c r="O156" t="n">
        <v>0</v>
      </c>
      <c r="P156" t="n">
        <v>0</v>
      </c>
      <c r="Q156" t="n">
        <v>0</v>
      </c>
      <c r="R156" s="2" t="inlineStr"/>
    </row>
    <row r="157" ht="15" customHeight="1">
      <c r="A157" t="inlineStr">
        <is>
          <t>A 23355-2024</t>
        </is>
      </c>
      <c r="B157" s="1" t="n">
        <v>45453</v>
      </c>
      <c r="C157" s="1" t="n">
        <v>45887</v>
      </c>
      <c r="D157" t="inlineStr">
        <is>
          <t>GÄVLEBORGS LÄN</t>
        </is>
      </c>
      <c r="E157" t="inlineStr">
        <is>
          <t>HOFORS</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38486-2025</t>
        </is>
      </c>
      <c r="B158" s="1" t="n">
        <v>45884.34282407408</v>
      </c>
      <c r="C158" s="1" t="n">
        <v>45887</v>
      </c>
      <c r="D158" t="inlineStr">
        <is>
          <t>GÄVLEBORGS LÄN</t>
        </is>
      </c>
      <c r="E158" t="inlineStr">
        <is>
          <t>HOFORS</t>
        </is>
      </c>
      <c r="G158" t="n">
        <v>1.9</v>
      </c>
      <c r="H158" t="n">
        <v>0</v>
      </c>
      <c r="I158" t="n">
        <v>0</v>
      </c>
      <c r="J158" t="n">
        <v>0</v>
      </c>
      <c r="K158" t="n">
        <v>0</v>
      </c>
      <c r="L158" t="n">
        <v>0</v>
      </c>
      <c r="M158" t="n">
        <v>0</v>
      </c>
      <c r="N158" t="n">
        <v>0</v>
      </c>
      <c r="O158" t="n">
        <v>0</v>
      </c>
      <c r="P158" t="n">
        <v>0</v>
      </c>
      <c r="Q158" t="n">
        <v>0</v>
      </c>
      <c r="R158" s="2" t="inlineStr"/>
    </row>
    <row r="159" ht="15" customHeight="1">
      <c r="A159" t="inlineStr">
        <is>
          <t>A 43730-2023</t>
        </is>
      </c>
      <c r="B159" s="1" t="n">
        <v>45187</v>
      </c>
      <c r="C159" s="1" t="n">
        <v>45887</v>
      </c>
      <c r="D159" t="inlineStr">
        <is>
          <t>GÄVLEBORGS LÄN</t>
        </is>
      </c>
      <c r="E159" t="inlineStr">
        <is>
          <t>HOFORS</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33985-2024</t>
        </is>
      </c>
      <c r="B160" s="1" t="n">
        <v>45523.52623842593</v>
      </c>
      <c r="C160" s="1" t="n">
        <v>45887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54826-2021</t>
        </is>
      </c>
      <c r="B161" s="1" t="n">
        <v>44473</v>
      </c>
      <c r="C161" s="1" t="n">
        <v>45887</v>
      </c>
      <c r="D161" t="inlineStr">
        <is>
          <t>GÄVLEBORGS LÄN</t>
        </is>
      </c>
      <c r="E161" t="inlineStr">
        <is>
          <t>HOFORS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6929-2023</t>
        </is>
      </c>
      <c r="B162" s="1" t="n">
        <v>44967</v>
      </c>
      <c r="C162" s="1" t="n">
        <v>45887</v>
      </c>
      <c r="D162" t="inlineStr">
        <is>
          <t>GÄVLEBORGS LÄN</t>
        </is>
      </c>
      <c r="E162" t="inlineStr">
        <is>
          <t>HOFORS</t>
        </is>
      </c>
      <c r="G162" t="n">
        <v>0.9</v>
      </c>
      <c r="H162" t="n">
        <v>0</v>
      </c>
      <c r="I162" t="n">
        <v>0</v>
      </c>
      <c r="J162" t="n">
        <v>0</v>
      </c>
      <c r="K162" t="n">
        <v>0</v>
      </c>
      <c r="L162" t="n">
        <v>0</v>
      </c>
      <c r="M162" t="n">
        <v>0</v>
      </c>
      <c r="N162" t="n">
        <v>0</v>
      </c>
      <c r="O162" t="n">
        <v>0</v>
      </c>
      <c r="P162" t="n">
        <v>0</v>
      </c>
      <c r="Q162" t="n">
        <v>0</v>
      </c>
      <c r="R162" s="2" t="inlineStr"/>
    </row>
    <row r="163" ht="15" customHeight="1">
      <c r="A163" t="inlineStr">
        <is>
          <t>A 1149-2024</t>
        </is>
      </c>
      <c r="B163" s="1" t="n">
        <v>45302.49834490741</v>
      </c>
      <c r="C163" s="1" t="n">
        <v>45887</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44356-2023</t>
        </is>
      </c>
      <c r="B164" s="1" t="n">
        <v>45188.81979166667</v>
      </c>
      <c r="C164" s="1" t="n">
        <v>45887</v>
      </c>
      <c r="D164" t="inlineStr">
        <is>
          <t>GÄVLEBORGS LÄN</t>
        </is>
      </c>
      <c r="E164" t="inlineStr">
        <is>
          <t>HOFORS</t>
        </is>
      </c>
      <c r="G164" t="n">
        <v>2.1</v>
      </c>
      <c r="H164" t="n">
        <v>0</v>
      </c>
      <c r="I164" t="n">
        <v>0</v>
      </c>
      <c r="J164" t="n">
        <v>0</v>
      </c>
      <c r="K164" t="n">
        <v>0</v>
      </c>
      <c r="L164" t="n">
        <v>0</v>
      </c>
      <c r="M164" t="n">
        <v>0</v>
      </c>
      <c r="N164" t="n">
        <v>0</v>
      </c>
      <c r="O164" t="n">
        <v>0</v>
      </c>
      <c r="P164" t="n">
        <v>0</v>
      </c>
      <c r="Q164" t="n">
        <v>0</v>
      </c>
      <c r="R164" s="2" t="inlineStr"/>
    </row>
    <row r="165" ht="15" customHeight="1">
      <c r="A165" t="inlineStr">
        <is>
          <t>A 47495-2024</t>
        </is>
      </c>
      <c r="B165" s="1" t="n">
        <v>45587.59559027778</v>
      </c>
      <c r="C165" s="1" t="n">
        <v>45887</v>
      </c>
      <c r="D165" t="inlineStr">
        <is>
          <t>GÄVLEBORGS LÄN</t>
        </is>
      </c>
      <c r="E165" t="inlineStr">
        <is>
          <t>HOFORS</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11607-2023</t>
        </is>
      </c>
      <c r="B166" s="1" t="n">
        <v>44994</v>
      </c>
      <c r="C166" s="1" t="n">
        <v>45887</v>
      </c>
      <c r="D166" t="inlineStr">
        <is>
          <t>GÄVLEBORGS LÄN</t>
        </is>
      </c>
      <c r="E166" t="inlineStr">
        <is>
          <t>HOFORS</t>
        </is>
      </c>
      <c r="F166" t="inlineStr">
        <is>
          <t>Övriga statliga verk och myndigheter</t>
        </is>
      </c>
      <c r="G166" t="n">
        <v>1.1</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45887</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47504-2024</t>
        </is>
      </c>
      <c r="B168" s="1" t="n">
        <v>45587.604375</v>
      </c>
      <c r="C168" s="1" t="n">
        <v>45887</v>
      </c>
      <c r="D168" t="inlineStr">
        <is>
          <t>GÄVLEBORGS LÄN</t>
        </is>
      </c>
      <c r="E168" t="inlineStr">
        <is>
          <t>HOFORS</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33495-2023</t>
        </is>
      </c>
      <c r="B169" s="1" t="n">
        <v>45118</v>
      </c>
      <c r="C169" s="1" t="n">
        <v>45887</v>
      </c>
      <c r="D169" t="inlineStr">
        <is>
          <t>GÄVLEBORGS LÄN</t>
        </is>
      </c>
      <c r="E169" t="inlineStr">
        <is>
          <t>HOFORS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31613-2023</t>
        </is>
      </c>
      <c r="B170" s="1" t="n">
        <v>45117</v>
      </c>
      <c r="C170" s="1" t="n">
        <v>45887</v>
      </c>
      <c r="D170" t="inlineStr">
        <is>
          <t>GÄVLEBORGS LÄN</t>
        </is>
      </c>
      <c r="E170" t="inlineStr">
        <is>
          <t>HOFORS</t>
        </is>
      </c>
      <c r="G170" t="n">
        <v>1.2</v>
      </c>
      <c r="H170" t="n">
        <v>0</v>
      </c>
      <c r="I170" t="n">
        <v>0</v>
      </c>
      <c r="J170" t="n">
        <v>0</v>
      </c>
      <c r="K170" t="n">
        <v>0</v>
      </c>
      <c r="L170" t="n">
        <v>0</v>
      </c>
      <c r="M170" t="n">
        <v>0</v>
      </c>
      <c r="N170" t="n">
        <v>0</v>
      </c>
      <c r="O170" t="n">
        <v>0</v>
      </c>
      <c r="P170" t="n">
        <v>0</v>
      </c>
      <c r="Q170" t="n">
        <v>0</v>
      </c>
      <c r="R170" s="2" t="inlineStr"/>
    </row>
    <row r="171" ht="15" customHeight="1">
      <c r="A171" t="inlineStr">
        <is>
          <t>A 11953-2025</t>
        </is>
      </c>
      <c r="B171" s="1" t="n">
        <v>45728.56366898148</v>
      </c>
      <c r="C171" s="1" t="n">
        <v>45887</v>
      </c>
      <c r="D171" t="inlineStr">
        <is>
          <t>GÄVLEBORGS LÄN</t>
        </is>
      </c>
      <c r="E171" t="inlineStr">
        <is>
          <t>HOFORS</t>
        </is>
      </c>
      <c r="F171" t="inlineStr">
        <is>
          <t>Sveaskog</t>
        </is>
      </c>
      <c r="G171" t="n">
        <v>34.8</v>
      </c>
      <c r="H171" t="n">
        <v>0</v>
      </c>
      <c r="I171" t="n">
        <v>0</v>
      </c>
      <c r="J171" t="n">
        <v>0</v>
      </c>
      <c r="K171" t="n">
        <v>0</v>
      </c>
      <c r="L171" t="n">
        <v>0</v>
      </c>
      <c r="M171" t="n">
        <v>0</v>
      </c>
      <c r="N171" t="n">
        <v>0</v>
      </c>
      <c r="O171" t="n">
        <v>0</v>
      </c>
      <c r="P171" t="n">
        <v>0</v>
      </c>
      <c r="Q171" t="n">
        <v>0</v>
      </c>
      <c r="R171" s="2" t="inlineStr"/>
    </row>
    <row r="172" ht="15" customHeight="1">
      <c r="A172" t="inlineStr">
        <is>
          <t>A 37743-2022</t>
        </is>
      </c>
      <c r="B172" s="1" t="n">
        <v>44810.58275462963</v>
      </c>
      <c r="C172" s="1" t="n">
        <v>45887</v>
      </c>
      <c r="D172" t="inlineStr">
        <is>
          <t>GÄVLEBORGS LÄN</t>
        </is>
      </c>
      <c r="E172" t="inlineStr">
        <is>
          <t>HOFORS</t>
        </is>
      </c>
      <c r="G172" t="n">
        <v>1.6</v>
      </c>
      <c r="H172" t="n">
        <v>0</v>
      </c>
      <c r="I172" t="n">
        <v>0</v>
      </c>
      <c r="J172" t="n">
        <v>0</v>
      </c>
      <c r="K172" t="n">
        <v>0</v>
      </c>
      <c r="L172" t="n">
        <v>0</v>
      </c>
      <c r="M172" t="n">
        <v>0</v>
      </c>
      <c r="N172" t="n">
        <v>0</v>
      </c>
      <c r="O172" t="n">
        <v>0</v>
      </c>
      <c r="P172" t="n">
        <v>0</v>
      </c>
      <c r="Q172" t="n">
        <v>0</v>
      </c>
      <c r="R172" s="2" t="inlineStr"/>
    </row>
    <row r="173" ht="15" customHeight="1">
      <c r="A173" t="inlineStr">
        <is>
          <t>A 6958-2024</t>
        </is>
      </c>
      <c r="B173" s="1" t="n">
        <v>45343</v>
      </c>
      <c r="C173" s="1" t="n">
        <v>45887</v>
      </c>
      <c r="D173" t="inlineStr">
        <is>
          <t>GÄVLEBORGS LÄN</t>
        </is>
      </c>
      <c r="E173" t="inlineStr">
        <is>
          <t>HOFORS</t>
        </is>
      </c>
      <c r="G173" t="n">
        <v>3.4</v>
      </c>
      <c r="H173" t="n">
        <v>0</v>
      </c>
      <c r="I173" t="n">
        <v>0</v>
      </c>
      <c r="J173" t="n">
        <v>0</v>
      </c>
      <c r="K173" t="n">
        <v>0</v>
      </c>
      <c r="L173" t="n">
        <v>0</v>
      </c>
      <c r="M173" t="n">
        <v>0</v>
      </c>
      <c r="N173" t="n">
        <v>0</v>
      </c>
      <c r="O173" t="n">
        <v>0</v>
      </c>
      <c r="P173" t="n">
        <v>0</v>
      </c>
      <c r="Q173" t="n">
        <v>0</v>
      </c>
      <c r="R173" s="2" t="inlineStr"/>
    </row>
    <row r="174" ht="15" customHeight="1">
      <c r="A174" t="inlineStr">
        <is>
          <t>A 11813-2024</t>
        </is>
      </c>
      <c r="B174" s="1" t="n">
        <v>45376.30138888889</v>
      </c>
      <c r="C174" s="1" t="n">
        <v>45887</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57632-2021</t>
        </is>
      </c>
      <c r="B175" s="1" t="n">
        <v>44484.39166666667</v>
      </c>
      <c r="C175" s="1" t="n">
        <v>45887</v>
      </c>
      <c r="D175" t="inlineStr">
        <is>
          <t>GÄVLEBORGS LÄN</t>
        </is>
      </c>
      <c r="E175" t="inlineStr">
        <is>
          <t>HOFORS</t>
        </is>
      </c>
      <c r="G175" t="n">
        <v>4.1</v>
      </c>
      <c r="H175" t="n">
        <v>0</v>
      </c>
      <c r="I175" t="n">
        <v>0</v>
      </c>
      <c r="J175" t="n">
        <v>0</v>
      </c>
      <c r="K175" t="n">
        <v>0</v>
      </c>
      <c r="L175" t="n">
        <v>0</v>
      </c>
      <c r="M175" t="n">
        <v>0</v>
      </c>
      <c r="N175" t="n">
        <v>0</v>
      </c>
      <c r="O175" t="n">
        <v>0</v>
      </c>
      <c r="P175" t="n">
        <v>0</v>
      </c>
      <c r="Q175" t="n">
        <v>0</v>
      </c>
      <c r="R175" s="2" t="inlineStr"/>
    </row>
    <row r="176" ht="15" customHeight="1">
      <c r="A176" t="inlineStr">
        <is>
          <t>A 33734-2024</t>
        </is>
      </c>
      <c r="B176" s="1" t="n">
        <v>45520</v>
      </c>
      <c r="C176" s="1" t="n">
        <v>45887</v>
      </c>
      <c r="D176" t="inlineStr">
        <is>
          <t>GÄVLEBORGS LÄN</t>
        </is>
      </c>
      <c r="E176" t="inlineStr">
        <is>
          <t>HOFORS</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45887</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45887</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51277-2022</t>
        </is>
      </c>
      <c r="B179" s="1" t="n">
        <v>44868.7127662037</v>
      </c>
      <c r="C179" s="1" t="n">
        <v>45887</v>
      </c>
      <c r="D179" t="inlineStr">
        <is>
          <t>GÄVLEBORGS LÄN</t>
        </is>
      </c>
      <c r="E179" t="inlineStr">
        <is>
          <t>HOFORS</t>
        </is>
      </c>
      <c r="G179" t="n">
        <v>1.2</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45887</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47493-2024</t>
        </is>
      </c>
      <c r="B181" s="1" t="n">
        <v>45587.59410879629</v>
      </c>
      <c r="C181" s="1" t="n">
        <v>45887</v>
      </c>
      <c r="D181" t="inlineStr">
        <is>
          <t>GÄVLEBORGS LÄN</t>
        </is>
      </c>
      <c r="E181" t="inlineStr">
        <is>
          <t>HOFORS</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34232-2023</t>
        </is>
      </c>
      <c r="B182" s="1" t="n">
        <v>45127</v>
      </c>
      <c r="C182" s="1" t="n">
        <v>45887</v>
      </c>
      <c r="D182" t="inlineStr">
        <is>
          <t>GÄVLEBORGS LÄN</t>
        </is>
      </c>
      <c r="E182" t="inlineStr">
        <is>
          <t>HOFORS</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45887</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25474-2024</t>
        </is>
      </c>
      <c r="B184" s="1" t="n">
        <v>45463.44631944445</v>
      </c>
      <c r="C184" s="1" t="n">
        <v>45887</v>
      </c>
      <c r="D184" t="inlineStr">
        <is>
          <t>GÄVLEBORGS LÄN</t>
        </is>
      </c>
      <c r="E184" t="inlineStr">
        <is>
          <t>HOFORS</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21027-2024</t>
        </is>
      </c>
      <c r="B185" s="1" t="n">
        <v>45439</v>
      </c>
      <c r="C185" s="1" t="n">
        <v>45887</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21028-2024</t>
        </is>
      </c>
      <c r="B186" s="1" t="n">
        <v>45439</v>
      </c>
      <c r="C186" s="1" t="n">
        <v>45887</v>
      </c>
      <c r="D186" t="inlineStr">
        <is>
          <t>GÄVLEBORGS LÄN</t>
        </is>
      </c>
      <c r="E186" t="inlineStr">
        <is>
          <t>HOFORS</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2612-2025</t>
        </is>
      </c>
      <c r="B187" s="1" t="n">
        <v>45674</v>
      </c>
      <c r="C187" s="1" t="n">
        <v>45887</v>
      </c>
      <c r="D187" t="inlineStr">
        <is>
          <t>GÄVLEBORGS LÄN</t>
        </is>
      </c>
      <c r="E187" t="inlineStr">
        <is>
          <t>HOFORS</t>
        </is>
      </c>
      <c r="G187" t="n">
        <v>3.8</v>
      </c>
      <c r="H187" t="n">
        <v>0</v>
      </c>
      <c r="I187" t="n">
        <v>0</v>
      </c>
      <c r="J187" t="n">
        <v>0</v>
      </c>
      <c r="K187" t="n">
        <v>0</v>
      </c>
      <c r="L187" t="n">
        <v>0</v>
      </c>
      <c r="M187" t="n">
        <v>0</v>
      </c>
      <c r="N187" t="n">
        <v>0</v>
      </c>
      <c r="O187" t="n">
        <v>0</v>
      </c>
      <c r="P187" t="n">
        <v>0</v>
      </c>
      <c r="Q187" t="n">
        <v>0</v>
      </c>
      <c r="R187" s="2" t="inlineStr"/>
    </row>
    <row r="188" ht="15" customHeight="1">
      <c r="A188" t="inlineStr">
        <is>
          <t>A 20543-2025</t>
        </is>
      </c>
      <c r="B188" s="1" t="n">
        <v>45775.6283912037</v>
      </c>
      <c r="C188" s="1" t="n">
        <v>45887</v>
      </c>
      <c r="D188" t="inlineStr">
        <is>
          <t>GÄVLEBORGS LÄN</t>
        </is>
      </c>
      <c r="E188" t="inlineStr">
        <is>
          <t>HOFORS</t>
        </is>
      </c>
      <c r="G188" t="n">
        <v>4.3</v>
      </c>
      <c r="H188" t="n">
        <v>0</v>
      </c>
      <c r="I188" t="n">
        <v>0</v>
      </c>
      <c r="J188" t="n">
        <v>0</v>
      </c>
      <c r="K188" t="n">
        <v>0</v>
      </c>
      <c r="L188" t="n">
        <v>0</v>
      </c>
      <c r="M188" t="n">
        <v>0</v>
      </c>
      <c r="N188" t="n">
        <v>0</v>
      </c>
      <c r="O188" t="n">
        <v>0</v>
      </c>
      <c r="P188" t="n">
        <v>0</v>
      </c>
      <c r="Q188" t="n">
        <v>0</v>
      </c>
      <c r="R188" s="2" t="inlineStr"/>
    </row>
    <row r="189" ht="15" customHeight="1">
      <c r="A189" t="inlineStr">
        <is>
          <t>A 32980-2023</t>
        </is>
      </c>
      <c r="B189" s="1" t="n">
        <v>45125.59980324074</v>
      </c>
      <c r="C189" s="1" t="n">
        <v>45887</v>
      </c>
      <c r="D189" t="inlineStr">
        <is>
          <t>GÄVLEBORGS LÄN</t>
        </is>
      </c>
      <c r="E189" t="inlineStr">
        <is>
          <t>HOFORS</t>
        </is>
      </c>
      <c r="G189" t="n">
        <v>0.7</v>
      </c>
      <c r="H189" t="n">
        <v>0</v>
      </c>
      <c r="I189" t="n">
        <v>0</v>
      </c>
      <c r="J189" t="n">
        <v>0</v>
      </c>
      <c r="K189" t="n">
        <v>0</v>
      </c>
      <c r="L189" t="n">
        <v>0</v>
      </c>
      <c r="M189" t="n">
        <v>0</v>
      </c>
      <c r="N189" t="n">
        <v>0</v>
      </c>
      <c r="O189" t="n">
        <v>0</v>
      </c>
      <c r="P189" t="n">
        <v>0</v>
      </c>
      <c r="Q189" t="n">
        <v>0</v>
      </c>
      <c r="R189" s="2" t="inlineStr"/>
    </row>
    <row r="190" ht="15" customHeight="1">
      <c r="A190" t="inlineStr">
        <is>
          <t>A 5557-2021</t>
        </is>
      </c>
      <c r="B190" s="1" t="n">
        <v>44230</v>
      </c>
      <c r="C190" s="1" t="n">
        <v>45887</v>
      </c>
      <c r="D190" t="inlineStr">
        <is>
          <t>GÄVLEBORGS LÄN</t>
        </is>
      </c>
      <c r="E190" t="inlineStr">
        <is>
          <t>HOFORS</t>
        </is>
      </c>
      <c r="G190" t="n">
        <v>4</v>
      </c>
      <c r="H190" t="n">
        <v>0</v>
      </c>
      <c r="I190" t="n">
        <v>0</v>
      </c>
      <c r="J190" t="n">
        <v>0</v>
      </c>
      <c r="K190" t="n">
        <v>0</v>
      </c>
      <c r="L190" t="n">
        <v>0</v>
      </c>
      <c r="M190" t="n">
        <v>0</v>
      </c>
      <c r="N190" t="n">
        <v>0</v>
      </c>
      <c r="O190" t="n">
        <v>0</v>
      </c>
      <c r="P190" t="n">
        <v>0</v>
      </c>
      <c r="Q190" t="n">
        <v>0</v>
      </c>
      <c r="R190" s="2" t="inlineStr"/>
    </row>
    <row r="191" ht="15" customHeight="1">
      <c r="A191" t="inlineStr">
        <is>
          <t>A 127-2024</t>
        </is>
      </c>
      <c r="B191" s="1" t="n">
        <v>45294.40788194445</v>
      </c>
      <c r="C191" s="1" t="n">
        <v>45887</v>
      </c>
      <c r="D191" t="inlineStr">
        <is>
          <t>GÄVLEBORGS LÄN</t>
        </is>
      </c>
      <c r="E191" t="inlineStr">
        <is>
          <t>HOFORS</t>
        </is>
      </c>
      <c r="F191" t="inlineStr">
        <is>
          <t>Sveaskog</t>
        </is>
      </c>
      <c r="G191" t="n">
        <v>20.4</v>
      </c>
      <c r="H191" t="n">
        <v>0</v>
      </c>
      <c r="I191" t="n">
        <v>0</v>
      </c>
      <c r="J191" t="n">
        <v>0</v>
      </c>
      <c r="K191" t="n">
        <v>0</v>
      </c>
      <c r="L191" t="n">
        <v>0</v>
      </c>
      <c r="M191" t="n">
        <v>0</v>
      </c>
      <c r="N191" t="n">
        <v>0</v>
      </c>
      <c r="O191" t="n">
        <v>0</v>
      </c>
      <c r="P191" t="n">
        <v>0</v>
      </c>
      <c r="Q191" t="n">
        <v>0</v>
      </c>
      <c r="R191" s="2" t="inlineStr"/>
    </row>
    <row r="192" ht="15" customHeight="1">
      <c r="A192" t="inlineStr">
        <is>
          <t>A 47639-2021</t>
        </is>
      </c>
      <c r="B192" s="1" t="n">
        <v>44448.3966087963</v>
      </c>
      <c r="C192" s="1" t="n">
        <v>45887</v>
      </c>
      <c r="D192" t="inlineStr">
        <is>
          <t>GÄVLEBORGS LÄN</t>
        </is>
      </c>
      <c r="E192" t="inlineStr">
        <is>
          <t>HOFORS</t>
        </is>
      </c>
      <c r="G192" t="n">
        <v>2.7</v>
      </c>
      <c r="H192" t="n">
        <v>0</v>
      </c>
      <c r="I192" t="n">
        <v>0</v>
      </c>
      <c r="J192" t="n">
        <v>0</v>
      </c>
      <c r="K192" t="n">
        <v>0</v>
      </c>
      <c r="L192" t="n">
        <v>0</v>
      </c>
      <c r="M192" t="n">
        <v>0</v>
      </c>
      <c r="N192" t="n">
        <v>0</v>
      </c>
      <c r="O192" t="n">
        <v>0</v>
      </c>
      <c r="P192" t="n">
        <v>0</v>
      </c>
      <c r="Q192" t="n">
        <v>0</v>
      </c>
      <c r="R192" s="2" t="inlineStr"/>
    </row>
    <row r="193" ht="15" customHeight="1">
      <c r="A193" t="inlineStr">
        <is>
          <t>A 33710-2024</t>
        </is>
      </c>
      <c r="B193" s="1" t="n">
        <v>45520</v>
      </c>
      <c r="C193" s="1" t="n">
        <v>45887</v>
      </c>
      <c r="D193" t="inlineStr">
        <is>
          <t>GÄVLEBORGS LÄN</t>
        </is>
      </c>
      <c r="E193" t="inlineStr">
        <is>
          <t>HOFORS</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28133-2024</t>
        </is>
      </c>
      <c r="B194" s="1" t="n">
        <v>45476.69053240741</v>
      </c>
      <c r="C194" s="1" t="n">
        <v>45887</v>
      </c>
      <c r="D194" t="inlineStr">
        <is>
          <t>GÄVLEBORGS LÄN</t>
        </is>
      </c>
      <c r="E194" t="inlineStr">
        <is>
          <t>HOFORS</t>
        </is>
      </c>
      <c r="G194" t="n">
        <v>3.8</v>
      </c>
      <c r="H194" t="n">
        <v>0</v>
      </c>
      <c r="I194" t="n">
        <v>0</v>
      </c>
      <c r="J194" t="n">
        <v>0</v>
      </c>
      <c r="K194" t="n">
        <v>0</v>
      </c>
      <c r="L194" t="n">
        <v>0</v>
      </c>
      <c r="M194" t="n">
        <v>0</v>
      </c>
      <c r="N194" t="n">
        <v>0</v>
      </c>
      <c r="O194" t="n">
        <v>0</v>
      </c>
      <c r="P194" t="n">
        <v>0</v>
      </c>
      <c r="Q194" t="n">
        <v>0</v>
      </c>
      <c r="R194" s="2" t="inlineStr"/>
    </row>
    <row r="195" ht="15" customHeight="1">
      <c r="A195" t="inlineStr">
        <is>
          <t>A 33978-2024</t>
        </is>
      </c>
      <c r="B195" s="1" t="n">
        <v>45523.51716435186</v>
      </c>
      <c r="C195" s="1" t="n">
        <v>45887</v>
      </c>
      <c r="D195" t="inlineStr">
        <is>
          <t>GÄVLEBORGS LÄN</t>
        </is>
      </c>
      <c r="E195" t="inlineStr">
        <is>
          <t>HOFORS</t>
        </is>
      </c>
      <c r="G195" t="n">
        <v>0.6</v>
      </c>
      <c r="H195" t="n">
        <v>0</v>
      </c>
      <c r="I195" t="n">
        <v>0</v>
      </c>
      <c r="J195" t="n">
        <v>0</v>
      </c>
      <c r="K195" t="n">
        <v>0</v>
      </c>
      <c r="L195" t="n">
        <v>0</v>
      </c>
      <c r="M195" t="n">
        <v>0</v>
      </c>
      <c r="N195" t="n">
        <v>0</v>
      </c>
      <c r="O195" t="n">
        <v>0</v>
      </c>
      <c r="P195" t="n">
        <v>0</v>
      </c>
      <c r="Q195" t="n">
        <v>0</v>
      </c>
      <c r="R195" s="2" t="inlineStr"/>
    </row>
    <row r="196" ht="15" customHeight="1">
      <c r="A196" t="inlineStr">
        <is>
          <t>A 33984-2024</t>
        </is>
      </c>
      <c r="B196" s="1" t="n">
        <v>45523.52378472222</v>
      </c>
      <c r="C196" s="1" t="n">
        <v>45887</v>
      </c>
      <c r="D196" t="inlineStr">
        <is>
          <t>GÄVLEBORGS LÄN</t>
        </is>
      </c>
      <c r="E196" t="inlineStr">
        <is>
          <t>HOFORS</t>
        </is>
      </c>
      <c r="G196" t="n">
        <v>0.5</v>
      </c>
      <c r="H196" t="n">
        <v>0</v>
      </c>
      <c r="I196" t="n">
        <v>0</v>
      </c>
      <c r="J196" t="n">
        <v>0</v>
      </c>
      <c r="K196" t="n">
        <v>0</v>
      </c>
      <c r="L196" t="n">
        <v>0</v>
      </c>
      <c r="M196" t="n">
        <v>0</v>
      </c>
      <c r="N196" t="n">
        <v>0</v>
      </c>
      <c r="O196" t="n">
        <v>0</v>
      </c>
      <c r="P196" t="n">
        <v>0</v>
      </c>
      <c r="Q196" t="n">
        <v>0</v>
      </c>
      <c r="R196" s="2" t="inlineStr"/>
    </row>
    <row r="197" ht="15" customHeight="1">
      <c r="A197" t="inlineStr">
        <is>
          <t>A 43143-2024</t>
        </is>
      </c>
      <c r="B197" s="1" t="n">
        <v>45567.62359953704</v>
      </c>
      <c r="C197" s="1" t="n">
        <v>45887</v>
      </c>
      <c r="D197" t="inlineStr">
        <is>
          <t>GÄVLEBORGS LÄN</t>
        </is>
      </c>
      <c r="E197" t="inlineStr">
        <is>
          <t>HOFORS</t>
        </is>
      </c>
      <c r="G197" t="n">
        <v>3.3</v>
      </c>
      <c r="H197" t="n">
        <v>0</v>
      </c>
      <c r="I197" t="n">
        <v>0</v>
      </c>
      <c r="J197" t="n">
        <v>0</v>
      </c>
      <c r="K197" t="n">
        <v>0</v>
      </c>
      <c r="L197" t="n">
        <v>0</v>
      </c>
      <c r="M197" t="n">
        <v>0</v>
      </c>
      <c r="N197" t="n">
        <v>0</v>
      </c>
      <c r="O197" t="n">
        <v>0</v>
      </c>
      <c r="P197" t="n">
        <v>0</v>
      </c>
      <c r="Q197" t="n">
        <v>0</v>
      </c>
      <c r="R197" s="2" t="inlineStr"/>
    </row>
    <row r="198" ht="15" customHeight="1">
      <c r="A198" t="inlineStr">
        <is>
          <t>A 36763-2024</t>
        </is>
      </c>
      <c r="B198" s="1" t="n">
        <v>45538.36181712963</v>
      </c>
      <c r="C198" s="1" t="n">
        <v>45887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31123-2021</t>
        </is>
      </c>
      <c r="B199" s="1" t="n">
        <v>44368</v>
      </c>
      <c r="C199" s="1" t="n">
        <v>45887</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14119-2025</t>
        </is>
      </c>
      <c r="B200" s="1" t="n">
        <v>45740.4659837963</v>
      </c>
      <c r="C200" s="1" t="n">
        <v>45887</v>
      </c>
      <c r="D200" t="inlineStr">
        <is>
          <t>GÄVLEBORGS LÄN</t>
        </is>
      </c>
      <c r="E200" t="inlineStr">
        <is>
          <t>HOFORS</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57751-2024</t>
        </is>
      </c>
      <c r="B201" s="1" t="n">
        <v>45630.82424768519</v>
      </c>
      <c r="C201" s="1" t="n">
        <v>45887</v>
      </c>
      <c r="D201" t="inlineStr">
        <is>
          <t>GÄVLEBORGS LÄN</t>
        </is>
      </c>
      <c r="E201" t="inlineStr">
        <is>
          <t>HOFORS</t>
        </is>
      </c>
      <c r="G201" t="n">
        <v>1.8</v>
      </c>
      <c r="H201" t="n">
        <v>0</v>
      </c>
      <c r="I201" t="n">
        <v>0</v>
      </c>
      <c r="J201" t="n">
        <v>0</v>
      </c>
      <c r="K201" t="n">
        <v>0</v>
      </c>
      <c r="L201" t="n">
        <v>0</v>
      </c>
      <c r="M201" t="n">
        <v>0</v>
      </c>
      <c r="N201" t="n">
        <v>0</v>
      </c>
      <c r="O201" t="n">
        <v>0</v>
      </c>
      <c r="P201" t="n">
        <v>0</v>
      </c>
      <c r="Q201" t="n">
        <v>0</v>
      </c>
      <c r="R201" s="2" t="inlineStr"/>
    </row>
    <row r="202" ht="15" customHeight="1">
      <c r="A202" t="inlineStr">
        <is>
          <t>A 35504-2024</t>
        </is>
      </c>
      <c r="B202" s="1" t="n">
        <v>45531.53686342593</v>
      </c>
      <c r="C202" s="1" t="n">
        <v>45887</v>
      </c>
      <c r="D202" t="inlineStr">
        <is>
          <t>GÄVLEBORGS LÄN</t>
        </is>
      </c>
      <c r="E202" t="inlineStr">
        <is>
          <t>HOFORS</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32827-2024</t>
        </is>
      </c>
      <c r="B203" s="1" t="n">
        <v>45516.59273148148</v>
      </c>
      <c r="C203" s="1" t="n">
        <v>45887</v>
      </c>
      <c r="D203" t="inlineStr">
        <is>
          <t>GÄVLEBORGS LÄN</t>
        </is>
      </c>
      <c r="E203" t="inlineStr">
        <is>
          <t>HOFORS</t>
        </is>
      </c>
      <c r="F203" t="inlineStr">
        <is>
          <t>Sveaskog</t>
        </is>
      </c>
      <c r="G203" t="n">
        <v>8.5</v>
      </c>
      <c r="H203" t="n">
        <v>0</v>
      </c>
      <c r="I203" t="n">
        <v>0</v>
      </c>
      <c r="J203" t="n">
        <v>0</v>
      </c>
      <c r="K203" t="n">
        <v>0</v>
      </c>
      <c r="L203" t="n">
        <v>0</v>
      </c>
      <c r="M203" t="n">
        <v>0</v>
      </c>
      <c r="N203" t="n">
        <v>0</v>
      </c>
      <c r="O203" t="n">
        <v>0</v>
      </c>
      <c r="P203" t="n">
        <v>0</v>
      </c>
      <c r="Q203" t="n">
        <v>0</v>
      </c>
      <c r="R203" s="2" t="inlineStr"/>
    </row>
    <row r="204" ht="15" customHeight="1">
      <c r="A204" t="inlineStr">
        <is>
          <t>A 10161-2023</t>
        </is>
      </c>
      <c r="B204" s="1" t="n">
        <v>44986</v>
      </c>
      <c r="C204" s="1" t="n">
        <v>45887</v>
      </c>
      <c r="D204" t="inlineStr">
        <is>
          <t>GÄVLEBORGS LÄN</t>
        </is>
      </c>
      <c r="E204" t="inlineStr">
        <is>
          <t>HOFORS</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c r="A205" t="inlineStr">
        <is>
          <t>A 2915-2025</t>
        </is>
      </c>
      <c r="B205" s="1" t="n">
        <v>45677.96424768519</v>
      </c>
      <c r="C205" s="1" t="n">
        <v>45887</v>
      </c>
      <c r="D205" t="inlineStr">
        <is>
          <t>GÄVLEBORGS LÄN</t>
        </is>
      </c>
      <c r="E205" t="inlineStr">
        <is>
          <t>HOFORS</t>
        </is>
      </c>
      <c r="G205" t="n">
        <v>1.9</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2025-08-18T08:30:58Z</dcterms:created>
  <dcterms:modified xmlns:dcterms="http://purl.org/dc/terms/" xmlns:xsi="http://www.w3.org/2001/XMLSchema-instance" xsi:type="dcterms:W3CDTF">2025-08-18T08:30:58Z</dcterms:modified>
</cp:coreProperties>
</file>