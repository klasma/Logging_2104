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45567</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45567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45567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45567</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45567</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45567</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45567</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45567</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45567</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45567</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45567</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45567</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45567</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45567</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45567</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45567</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45567</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45567</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45567</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45567</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45567</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45567</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45567</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45567</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45567</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45567</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45567</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45567</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45567</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45567</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45567</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45567</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45567</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45567</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45567</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45567</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45567</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45567</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45567</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45567</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45567</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45567</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45567</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45567</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45567</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45567</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45567</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45567</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45567</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45567</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45567</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45567</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45567</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45567</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45567</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45567</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35521-2024</t>
        </is>
      </c>
      <c r="B58" s="1" t="n">
        <v>45531</v>
      </c>
      <c r="C58" s="1" t="n">
        <v>45567</v>
      </c>
      <c r="D58" t="inlineStr">
        <is>
          <t>GÄVLEBORGS LÄN</t>
        </is>
      </c>
      <c r="E58" t="inlineStr">
        <is>
          <t>HOFORS</t>
        </is>
      </c>
      <c r="F58" t="inlineStr">
        <is>
          <t>Sveaskog</t>
        </is>
      </c>
      <c r="G58" t="n">
        <v>1.3</v>
      </c>
      <c r="H58" t="n">
        <v>1</v>
      </c>
      <c r="I58" t="n">
        <v>0</v>
      </c>
      <c r="J58" t="n">
        <v>0</v>
      </c>
      <c r="K58" t="n">
        <v>0</v>
      </c>
      <c r="L58" t="n">
        <v>0</v>
      </c>
      <c r="M58" t="n">
        <v>0</v>
      </c>
      <c r="N58" t="n">
        <v>0</v>
      </c>
      <c r="O58" t="n">
        <v>0</v>
      </c>
      <c r="P58" t="n">
        <v>0</v>
      </c>
      <c r="Q58" t="n">
        <v>1</v>
      </c>
      <c r="R58" s="2" t="inlineStr">
        <is>
          <t>Revlummer</t>
        </is>
      </c>
      <c r="S58">
        <f>HYPERLINK("https://klasma.github.io/Logging_2104/artfynd/A 35521-2024 artfynd.xlsx", "A 35521-2024")</f>
        <v/>
      </c>
      <c r="T58">
        <f>HYPERLINK("https://klasma.github.io/Logging_2104/kartor/A 35521-2024 karta.png", "A 35521-2024")</f>
        <v/>
      </c>
      <c r="V58">
        <f>HYPERLINK("https://klasma.github.io/Logging_2104/klagomål/A 35521-2024 FSC-klagomål.docx", "A 35521-2024")</f>
        <v/>
      </c>
      <c r="W58">
        <f>HYPERLINK("https://klasma.github.io/Logging_2104/klagomålsmail/A 35521-2024 FSC-klagomål mail.docx", "A 35521-2024")</f>
        <v/>
      </c>
      <c r="X58">
        <f>HYPERLINK("https://klasma.github.io/Logging_2104/tillsyn/A 35521-2024 tillsynsbegäran.docx", "A 35521-2024")</f>
        <v/>
      </c>
      <c r="Y58">
        <f>HYPERLINK("https://klasma.github.io/Logging_2104/tillsynsmail/A 35521-2024 tillsynsbegäran mail.docx", "A 35521-2024")</f>
        <v/>
      </c>
    </row>
    <row r="59" ht="15" customHeight="1">
      <c r="A59" t="inlineStr">
        <is>
          <t>A 36752-2024</t>
        </is>
      </c>
      <c r="B59" s="1" t="n">
        <v>45538</v>
      </c>
      <c r="C59" s="1" t="n">
        <v>45567</v>
      </c>
      <c r="D59" t="inlineStr">
        <is>
          <t>GÄVLEBORGS LÄN</t>
        </is>
      </c>
      <c r="E59" t="inlineStr">
        <is>
          <t>HOFORS</t>
        </is>
      </c>
      <c r="G59" t="n">
        <v>2.3</v>
      </c>
      <c r="H59" t="n">
        <v>1</v>
      </c>
      <c r="I59" t="n">
        <v>0</v>
      </c>
      <c r="J59" t="n">
        <v>0</v>
      </c>
      <c r="K59" t="n">
        <v>1</v>
      </c>
      <c r="L59" t="n">
        <v>0</v>
      </c>
      <c r="M59" t="n">
        <v>0</v>
      </c>
      <c r="N59" t="n">
        <v>0</v>
      </c>
      <c r="O59" t="n">
        <v>1</v>
      </c>
      <c r="P59" t="n">
        <v>1</v>
      </c>
      <c r="Q59" t="n">
        <v>1</v>
      </c>
      <c r="R59" s="2" t="inlineStr">
        <is>
          <t>Knärot</t>
        </is>
      </c>
      <c r="S59">
        <f>HYPERLINK("https://klasma.github.io/Logging_2104/artfynd/A 36752-2024 artfynd.xlsx", "A 36752-2024")</f>
        <v/>
      </c>
      <c r="T59">
        <f>HYPERLINK("https://klasma.github.io/Logging_2104/kartor/A 36752-2024 karta.png", "A 36752-2024")</f>
        <v/>
      </c>
      <c r="U59">
        <f>HYPERLINK("https://klasma.github.io/Logging_2104/knärot/A 36752-2024 karta knärot.png", "A 36752-2024")</f>
        <v/>
      </c>
      <c r="V59">
        <f>HYPERLINK("https://klasma.github.io/Logging_2104/klagomål/A 36752-2024 FSC-klagomål.docx", "A 36752-2024")</f>
        <v/>
      </c>
      <c r="W59">
        <f>HYPERLINK("https://klasma.github.io/Logging_2104/klagomålsmail/A 36752-2024 FSC-klagomål mail.docx", "A 36752-2024")</f>
        <v/>
      </c>
      <c r="X59">
        <f>HYPERLINK("https://klasma.github.io/Logging_2104/tillsyn/A 36752-2024 tillsynsbegäran.docx", "A 36752-2024")</f>
        <v/>
      </c>
      <c r="Y59">
        <f>HYPERLINK("https://klasma.github.io/Logging_2104/tillsynsmail/A 36752-2024 tillsynsbegäran mail.docx", "A 36752-2024")</f>
        <v/>
      </c>
    </row>
    <row r="60" ht="15" customHeight="1">
      <c r="A60" t="inlineStr">
        <is>
          <t>A 36760-2024</t>
        </is>
      </c>
      <c r="B60" s="1" t="n">
        <v>45538</v>
      </c>
      <c r="C60" s="1" t="n">
        <v>45567</v>
      </c>
      <c r="D60" t="inlineStr">
        <is>
          <t>GÄVLEBORGS LÄN</t>
        </is>
      </c>
      <c r="E60" t="inlineStr">
        <is>
          <t>HOFORS</t>
        </is>
      </c>
      <c r="G60" t="n">
        <v>4.3</v>
      </c>
      <c r="H60" t="n">
        <v>1</v>
      </c>
      <c r="I60" t="n">
        <v>0</v>
      </c>
      <c r="J60" t="n">
        <v>0</v>
      </c>
      <c r="K60" t="n">
        <v>1</v>
      </c>
      <c r="L60" t="n">
        <v>0</v>
      </c>
      <c r="M60" t="n">
        <v>0</v>
      </c>
      <c r="N60" t="n">
        <v>0</v>
      </c>
      <c r="O60" t="n">
        <v>1</v>
      </c>
      <c r="P60" t="n">
        <v>1</v>
      </c>
      <c r="Q60" t="n">
        <v>1</v>
      </c>
      <c r="R60" s="2" t="inlineStr">
        <is>
          <t>Knärot</t>
        </is>
      </c>
      <c r="S60">
        <f>HYPERLINK("https://klasma.github.io/Logging_2104/artfynd/A 36760-2024 artfynd.xlsx", "A 36760-2024")</f>
        <v/>
      </c>
      <c r="T60">
        <f>HYPERLINK("https://klasma.github.io/Logging_2104/kartor/A 36760-2024 karta.png", "A 36760-2024")</f>
        <v/>
      </c>
      <c r="U60">
        <f>HYPERLINK("https://klasma.github.io/Logging_2104/knärot/A 36760-2024 karta knärot.png", "A 36760-2024")</f>
        <v/>
      </c>
      <c r="V60">
        <f>HYPERLINK("https://klasma.github.io/Logging_2104/klagomål/A 36760-2024 FSC-klagomål.docx", "A 36760-2024")</f>
        <v/>
      </c>
      <c r="W60">
        <f>HYPERLINK("https://klasma.github.io/Logging_2104/klagomålsmail/A 36760-2024 FSC-klagomål mail.docx", "A 36760-2024")</f>
        <v/>
      </c>
      <c r="X60">
        <f>HYPERLINK("https://klasma.github.io/Logging_2104/tillsyn/A 36760-2024 tillsynsbegäran.docx", "A 36760-2024")</f>
        <v/>
      </c>
      <c r="Y60">
        <f>HYPERLINK("https://klasma.github.io/Logging_2104/tillsynsmail/A 36760-2024 tillsynsbegäran mail.docx", "A 36760-2024")</f>
        <v/>
      </c>
    </row>
    <row r="61" ht="15" customHeight="1">
      <c r="A61" t="inlineStr">
        <is>
          <t>A 17691-2019</t>
        </is>
      </c>
      <c r="B61" s="1" t="n">
        <v>43556</v>
      </c>
      <c r="C61" s="1" t="n">
        <v>45567</v>
      </c>
      <c r="D61" t="inlineStr">
        <is>
          <t>GÄVLEBORGS LÄN</t>
        </is>
      </c>
      <c r="E61" t="inlineStr">
        <is>
          <t>HOFORS</t>
        </is>
      </c>
      <c r="F61" t="inlineStr">
        <is>
          <t>Kommuner</t>
        </is>
      </c>
      <c r="G61" t="n">
        <v>3.9</v>
      </c>
      <c r="H61" t="n">
        <v>0</v>
      </c>
      <c r="I61" t="n">
        <v>0</v>
      </c>
      <c r="J61" t="n">
        <v>0</v>
      </c>
      <c r="K61" t="n">
        <v>0</v>
      </c>
      <c r="L61" t="n">
        <v>0</v>
      </c>
      <c r="M61" t="n">
        <v>0</v>
      </c>
      <c r="N61" t="n">
        <v>0</v>
      </c>
      <c r="O61" t="n">
        <v>0</v>
      </c>
      <c r="P61" t="n">
        <v>0</v>
      </c>
      <c r="Q61" t="n">
        <v>0</v>
      </c>
      <c r="R61" s="2" t="inlineStr"/>
    </row>
    <row r="62" ht="15" customHeight="1">
      <c r="A62" t="inlineStr">
        <is>
          <t>A 18095-2019</t>
        </is>
      </c>
      <c r="B62" s="1" t="n">
        <v>43558</v>
      </c>
      <c r="C62" s="1" t="n">
        <v>45567</v>
      </c>
      <c r="D62" t="inlineStr">
        <is>
          <t>GÄVLEBORGS LÄN</t>
        </is>
      </c>
      <c r="E62" t="inlineStr">
        <is>
          <t>HOFORS</t>
        </is>
      </c>
      <c r="F62" t="inlineStr">
        <is>
          <t>Sveaskog</t>
        </is>
      </c>
      <c r="G62" t="n">
        <v>2.8</v>
      </c>
      <c r="H62" t="n">
        <v>0</v>
      </c>
      <c r="I62" t="n">
        <v>0</v>
      </c>
      <c r="J62" t="n">
        <v>0</v>
      </c>
      <c r="K62" t="n">
        <v>0</v>
      </c>
      <c r="L62" t="n">
        <v>0</v>
      </c>
      <c r="M62" t="n">
        <v>0</v>
      </c>
      <c r="N62" t="n">
        <v>0</v>
      </c>
      <c r="O62" t="n">
        <v>0</v>
      </c>
      <c r="P62" t="n">
        <v>0</v>
      </c>
      <c r="Q62" t="n">
        <v>0</v>
      </c>
      <c r="R62" s="2" t="inlineStr"/>
    </row>
    <row r="63" ht="15" customHeight="1">
      <c r="A63" t="inlineStr">
        <is>
          <t>A 18085-2019</t>
        </is>
      </c>
      <c r="B63" s="1" t="n">
        <v>43558</v>
      </c>
      <c r="C63" s="1" t="n">
        <v>45567</v>
      </c>
      <c r="D63" t="inlineStr">
        <is>
          <t>GÄVLEBORGS LÄN</t>
        </is>
      </c>
      <c r="E63" t="inlineStr">
        <is>
          <t>HOFORS</t>
        </is>
      </c>
      <c r="F63" t="inlineStr">
        <is>
          <t>Sveaskog</t>
        </is>
      </c>
      <c r="G63" t="n">
        <v>1.4</v>
      </c>
      <c r="H63" t="n">
        <v>0</v>
      </c>
      <c r="I63" t="n">
        <v>0</v>
      </c>
      <c r="J63" t="n">
        <v>0</v>
      </c>
      <c r="K63" t="n">
        <v>0</v>
      </c>
      <c r="L63" t="n">
        <v>0</v>
      </c>
      <c r="M63" t="n">
        <v>0</v>
      </c>
      <c r="N63" t="n">
        <v>0</v>
      </c>
      <c r="O63" t="n">
        <v>0</v>
      </c>
      <c r="P63" t="n">
        <v>0</v>
      </c>
      <c r="Q63" t="n">
        <v>0</v>
      </c>
      <c r="R63" s="2" t="inlineStr"/>
    </row>
    <row r="64" ht="15" customHeight="1">
      <c r="A64" t="inlineStr">
        <is>
          <t>A 21734-2019</t>
        </is>
      </c>
      <c r="B64" s="1" t="n">
        <v>43581</v>
      </c>
      <c r="C64" s="1" t="n">
        <v>45567</v>
      </c>
      <c r="D64" t="inlineStr">
        <is>
          <t>GÄVLEBORGS LÄN</t>
        </is>
      </c>
      <c r="E64" t="inlineStr">
        <is>
          <t>HOFORS</t>
        </is>
      </c>
      <c r="F64" t="inlineStr">
        <is>
          <t>Sveaskog</t>
        </is>
      </c>
      <c r="G64" t="n">
        <v>1.6</v>
      </c>
      <c r="H64" t="n">
        <v>0</v>
      </c>
      <c r="I64" t="n">
        <v>0</v>
      </c>
      <c r="J64" t="n">
        <v>0</v>
      </c>
      <c r="K64" t="n">
        <v>0</v>
      </c>
      <c r="L64" t="n">
        <v>0</v>
      </c>
      <c r="M64" t="n">
        <v>0</v>
      </c>
      <c r="N64" t="n">
        <v>0</v>
      </c>
      <c r="O64" t="n">
        <v>0</v>
      </c>
      <c r="P64" t="n">
        <v>0</v>
      </c>
      <c r="Q64" t="n">
        <v>0</v>
      </c>
      <c r="R64" s="2" t="inlineStr"/>
      <c r="U64">
        <f>HYPERLINK("https://klasma.github.io/Logging_2104/knärot/A 21734-2019 karta knärot.png", "A 21734-2019")</f>
        <v/>
      </c>
      <c r="V64">
        <f>HYPERLINK("https://klasma.github.io/Logging_2104/klagomål/A 21734-2019 FSC-klagomål.docx", "A 21734-2019")</f>
        <v/>
      </c>
      <c r="W64">
        <f>HYPERLINK("https://klasma.github.io/Logging_2104/klagomålsmail/A 21734-2019 FSC-klagomål mail.docx", "A 21734-2019")</f>
        <v/>
      </c>
      <c r="X64">
        <f>HYPERLINK("https://klasma.github.io/Logging_2104/tillsyn/A 21734-2019 tillsynsbegäran.docx", "A 21734-2019")</f>
        <v/>
      </c>
      <c r="Y64">
        <f>HYPERLINK("https://klasma.github.io/Logging_2104/tillsynsmail/A 21734-2019 tillsynsbegäran mail.docx", "A 21734-2019")</f>
        <v/>
      </c>
    </row>
    <row r="65" ht="15" customHeight="1">
      <c r="A65" t="inlineStr">
        <is>
          <t>A 22734-2019</t>
        </is>
      </c>
      <c r="B65" s="1" t="n">
        <v>43588</v>
      </c>
      <c r="C65" s="1" t="n">
        <v>45567</v>
      </c>
      <c r="D65" t="inlineStr">
        <is>
          <t>GÄVLEBORGS LÄN</t>
        </is>
      </c>
      <c r="E65" t="inlineStr">
        <is>
          <t>HOFORS</t>
        </is>
      </c>
      <c r="F65" t="inlineStr">
        <is>
          <t>Sveaskog</t>
        </is>
      </c>
      <c r="G65" t="n">
        <v>5.7</v>
      </c>
      <c r="H65" t="n">
        <v>0</v>
      </c>
      <c r="I65" t="n">
        <v>0</v>
      </c>
      <c r="J65" t="n">
        <v>0</v>
      </c>
      <c r="K65" t="n">
        <v>0</v>
      </c>
      <c r="L65" t="n">
        <v>0</v>
      </c>
      <c r="M65" t="n">
        <v>0</v>
      </c>
      <c r="N65" t="n">
        <v>0</v>
      </c>
      <c r="O65" t="n">
        <v>0</v>
      </c>
      <c r="P65" t="n">
        <v>0</v>
      </c>
      <c r="Q65" t="n">
        <v>0</v>
      </c>
      <c r="R65" s="2" t="inlineStr"/>
    </row>
    <row r="66" ht="15" customHeight="1">
      <c r="A66" t="inlineStr">
        <is>
          <t>A 23881-2019</t>
        </is>
      </c>
      <c r="B66" s="1" t="n">
        <v>43595</v>
      </c>
      <c r="C66" s="1" t="n">
        <v>45567</v>
      </c>
      <c r="D66" t="inlineStr">
        <is>
          <t>GÄVLEBORGS LÄN</t>
        </is>
      </c>
      <c r="E66" t="inlineStr">
        <is>
          <t>HOFORS</t>
        </is>
      </c>
      <c r="G66" t="n">
        <v>3.2</v>
      </c>
      <c r="H66" t="n">
        <v>0</v>
      </c>
      <c r="I66" t="n">
        <v>0</v>
      </c>
      <c r="J66" t="n">
        <v>0</v>
      </c>
      <c r="K66" t="n">
        <v>0</v>
      </c>
      <c r="L66" t="n">
        <v>0</v>
      </c>
      <c r="M66" t="n">
        <v>0</v>
      </c>
      <c r="N66" t="n">
        <v>0</v>
      </c>
      <c r="O66" t="n">
        <v>0</v>
      </c>
      <c r="P66" t="n">
        <v>0</v>
      </c>
      <c r="Q66" t="n">
        <v>0</v>
      </c>
      <c r="R66" s="2" t="inlineStr"/>
    </row>
    <row r="67" ht="15" customHeight="1">
      <c r="A67" t="inlineStr">
        <is>
          <t>A 24756-2019</t>
        </is>
      </c>
      <c r="B67" s="1" t="n">
        <v>43601</v>
      </c>
      <c r="C67" s="1" t="n">
        <v>45567</v>
      </c>
      <c r="D67" t="inlineStr">
        <is>
          <t>GÄVLEBORGS LÄN</t>
        </is>
      </c>
      <c r="E67" t="inlineStr">
        <is>
          <t>HOFORS</t>
        </is>
      </c>
      <c r="F67" t="inlineStr">
        <is>
          <t>Sveaskog</t>
        </is>
      </c>
      <c r="G67" t="n">
        <v>1.1</v>
      </c>
      <c r="H67" t="n">
        <v>0</v>
      </c>
      <c r="I67" t="n">
        <v>0</v>
      </c>
      <c r="J67" t="n">
        <v>0</v>
      </c>
      <c r="K67" t="n">
        <v>0</v>
      </c>
      <c r="L67" t="n">
        <v>0</v>
      </c>
      <c r="M67" t="n">
        <v>0</v>
      </c>
      <c r="N67" t="n">
        <v>0</v>
      </c>
      <c r="O67" t="n">
        <v>0</v>
      </c>
      <c r="P67" t="n">
        <v>0</v>
      </c>
      <c r="Q67" t="n">
        <v>0</v>
      </c>
      <c r="R67" s="2" t="inlineStr"/>
    </row>
    <row r="68" ht="15" customHeight="1">
      <c r="A68" t="inlineStr">
        <is>
          <t>A 25515-2019</t>
        </is>
      </c>
      <c r="B68" s="1" t="n">
        <v>43606</v>
      </c>
      <c r="C68" s="1" t="n">
        <v>45567</v>
      </c>
      <c r="D68" t="inlineStr">
        <is>
          <t>GÄVLEBORGS LÄN</t>
        </is>
      </c>
      <c r="E68" t="inlineStr">
        <is>
          <t>HOFORS</t>
        </is>
      </c>
      <c r="F68" t="inlineStr">
        <is>
          <t>Sveaskog</t>
        </is>
      </c>
      <c r="G68" t="n">
        <v>0.6</v>
      </c>
      <c r="H68" t="n">
        <v>0</v>
      </c>
      <c r="I68" t="n">
        <v>0</v>
      </c>
      <c r="J68" t="n">
        <v>0</v>
      </c>
      <c r="K68" t="n">
        <v>0</v>
      </c>
      <c r="L68" t="n">
        <v>0</v>
      </c>
      <c r="M68" t="n">
        <v>0</v>
      </c>
      <c r="N68" t="n">
        <v>0</v>
      </c>
      <c r="O68" t="n">
        <v>0</v>
      </c>
      <c r="P68" t="n">
        <v>0</v>
      </c>
      <c r="Q68" t="n">
        <v>0</v>
      </c>
      <c r="R68" s="2" t="inlineStr"/>
    </row>
    <row r="69" ht="15" customHeight="1">
      <c r="A69" t="inlineStr">
        <is>
          <t>A 25517-2019</t>
        </is>
      </c>
      <c r="B69" s="1" t="n">
        <v>43606</v>
      </c>
      <c r="C69" s="1" t="n">
        <v>45567</v>
      </c>
      <c r="D69" t="inlineStr">
        <is>
          <t>GÄVLEBORGS LÄN</t>
        </is>
      </c>
      <c r="E69" t="inlineStr">
        <is>
          <t>HOFORS</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30592-2019</t>
        </is>
      </c>
      <c r="B70" s="1" t="n">
        <v>43635</v>
      </c>
      <c r="C70" s="1" t="n">
        <v>45567</v>
      </c>
      <c r="D70" t="inlineStr">
        <is>
          <t>GÄVLEBORGS LÄN</t>
        </is>
      </c>
      <c r="E70" t="inlineStr">
        <is>
          <t>HOFORS</t>
        </is>
      </c>
      <c r="F70" t="inlineStr">
        <is>
          <t>Sveaskog</t>
        </is>
      </c>
      <c r="G70" t="n">
        <v>3.3</v>
      </c>
      <c r="H70" t="n">
        <v>0</v>
      </c>
      <c r="I70" t="n">
        <v>0</v>
      </c>
      <c r="J70" t="n">
        <v>0</v>
      </c>
      <c r="K70" t="n">
        <v>0</v>
      </c>
      <c r="L70" t="n">
        <v>0</v>
      </c>
      <c r="M70" t="n">
        <v>0</v>
      </c>
      <c r="N70" t="n">
        <v>0</v>
      </c>
      <c r="O70" t="n">
        <v>0</v>
      </c>
      <c r="P70" t="n">
        <v>0</v>
      </c>
      <c r="Q70" t="n">
        <v>0</v>
      </c>
      <c r="R70" s="2" t="inlineStr"/>
    </row>
    <row r="71" ht="15" customHeight="1">
      <c r="A71" t="inlineStr">
        <is>
          <t>A 30591-2019</t>
        </is>
      </c>
      <c r="B71" s="1" t="n">
        <v>43635</v>
      </c>
      <c r="C71" s="1" t="n">
        <v>45567</v>
      </c>
      <c r="D71" t="inlineStr">
        <is>
          <t>GÄVLEBORGS LÄN</t>
        </is>
      </c>
      <c r="E71" t="inlineStr">
        <is>
          <t>HOFORS</t>
        </is>
      </c>
      <c r="F71" t="inlineStr">
        <is>
          <t>Sveaskog</t>
        </is>
      </c>
      <c r="G71" t="n">
        <v>8.5</v>
      </c>
      <c r="H71" t="n">
        <v>0</v>
      </c>
      <c r="I71" t="n">
        <v>0</v>
      </c>
      <c r="J71" t="n">
        <v>0</v>
      </c>
      <c r="K71" t="n">
        <v>0</v>
      </c>
      <c r="L71" t="n">
        <v>0</v>
      </c>
      <c r="M71" t="n">
        <v>0</v>
      </c>
      <c r="N71" t="n">
        <v>0</v>
      </c>
      <c r="O71" t="n">
        <v>0</v>
      </c>
      <c r="P71" t="n">
        <v>0</v>
      </c>
      <c r="Q71" t="n">
        <v>0</v>
      </c>
      <c r="R71" s="2" t="inlineStr"/>
    </row>
    <row r="72" ht="15" customHeight="1">
      <c r="A72" t="inlineStr">
        <is>
          <t>A 40385-2019</t>
        </is>
      </c>
      <c r="B72" s="1" t="n">
        <v>43696</v>
      </c>
      <c r="C72" s="1" t="n">
        <v>45567</v>
      </c>
      <c r="D72" t="inlineStr">
        <is>
          <t>GÄVLEBORGS LÄN</t>
        </is>
      </c>
      <c r="E72" t="inlineStr">
        <is>
          <t>HOFORS</t>
        </is>
      </c>
      <c r="F72" t="inlineStr">
        <is>
          <t>Sveaskog</t>
        </is>
      </c>
      <c r="G72" t="n">
        <v>2.7</v>
      </c>
      <c r="H72" t="n">
        <v>0</v>
      </c>
      <c r="I72" t="n">
        <v>0</v>
      </c>
      <c r="J72" t="n">
        <v>0</v>
      </c>
      <c r="K72" t="n">
        <v>0</v>
      </c>
      <c r="L72" t="n">
        <v>0</v>
      </c>
      <c r="M72" t="n">
        <v>0</v>
      </c>
      <c r="N72" t="n">
        <v>0</v>
      </c>
      <c r="O72" t="n">
        <v>0</v>
      </c>
      <c r="P72" t="n">
        <v>0</v>
      </c>
      <c r="Q72" t="n">
        <v>0</v>
      </c>
      <c r="R72" s="2" t="inlineStr"/>
      <c r="U72">
        <f>HYPERLINK("https://klasma.github.io/Logging_2104/knärot/A 40385-2019 karta knärot.png", "A 40385-2019")</f>
        <v/>
      </c>
      <c r="V72">
        <f>HYPERLINK("https://klasma.github.io/Logging_2104/klagomål/A 40385-2019 FSC-klagomål.docx", "A 40385-2019")</f>
        <v/>
      </c>
      <c r="W72">
        <f>HYPERLINK("https://klasma.github.io/Logging_2104/klagomålsmail/A 40385-2019 FSC-klagomål mail.docx", "A 40385-2019")</f>
        <v/>
      </c>
      <c r="X72">
        <f>HYPERLINK("https://klasma.github.io/Logging_2104/tillsyn/A 40385-2019 tillsynsbegäran.docx", "A 40385-2019")</f>
        <v/>
      </c>
      <c r="Y72">
        <f>HYPERLINK("https://klasma.github.io/Logging_2104/tillsynsmail/A 40385-2019 tillsynsbegäran mail.docx", "A 40385-2019")</f>
        <v/>
      </c>
    </row>
    <row r="73" ht="15" customHeight="1">
      <c r="A73" t="inlineStr">
        <is>
          <t>A 42253-2019</t>
        </is>
      </c>
      <c r="B73" s="1" t="n">
        <v>43703</v>
      </c>
      <c r="C73" s="1" t="n">
        <v>45567</v>
      </c>
      <c r="D73" t="inlineStr">
        <is>
          <t>GÄVLEBORGS LÄN</t>
        </is>
      </c>
      <c r="E73" t="inlineStr">
        <is>
          <t>HOFORS</t>
        </is>
      </c>
      <c r="F73" t="inlineStr">
        <is>
          <t>Sveaskog</t>
        </is>
      </c>
      <c r="G73" t="n">
        <v>2.5</v>
      </c>
      <c r="H73" t="n">
        <v>0</v>
      </c>
      <c r="I73" t="n">
        <v>0</v>
      </c>
      <c r="J73" t="n">
        <v>0</v>
      </c>
      <c r="K73" t="n">
        <v>0</v>
      </c>
      <c r="L73" t="n">
        <v>0</v>
      </c>
      <c r="M73" t="n">
        <v>0</v>
      </c>
      <c r="N73" t="n">
        <v>0</v>
      </c>
      <c r="O73" t="n">
        <v>0</v>
      </c>
      <c r="P73" t="n">
        <v>0</v>
      </c>
      <c r="Q73" t="n">
        <v>0</v>
      </c>
      <c r="R73" s="2" t="inlineStr"/>
    </row>
    <row r="74" ht="15" customHeight="1">
      <c r="A74" t="inlineStr">
        <is>
          <t>A 44791-2019</t>
        </is>
      </c>
      <c r="B74" s="1" t="n">
        <v>43707</v>
      </c>
      <c r="C74" s="1" t="n">
        <v>45567</v>
      </c>
      <c r="D74" t="inlineStr">
        <is>
          <t>GÄVLEBORGS LÄN</t>
        </is>
      </c>
      <c r="E74" t="inlineStr">
        <is>
          <t>HOFORS</t>
        </is>
      </c>
      <c r="G74" t="n">
        <v>14.7</v>
      </c>
      <c r="H74" t="n">
        <v>0</v>
      </c>
      <c r="I74" t="n">
        <v>0</v>
      </c>
      <c r="J74" t="n">
        <v>0</v>
      </c>
      <c r="K74" t="n">
        <v>0</v>
      </c>
      <c r="L74" t="n">
        <v>0</v>
      </c>
      <c r="M74" t="n">
        <v>0</v>
      </c>
      <c r="N74" t="n">
        <v>0</v>
      </c>
      <c r="O74" t="n">
        <v>0</v>
      </c>
      <c r="P74" t="n">
        <v>0</v>
      </c>
      <c r="Q74" t="n">
        <v>0</v>
      </c>
      <c r="R74" s="2" t="inlineStr"/>
    </row>
    <row r="75" ht="15" customHeight="1">
      <c r="A75" t="inlineStr">
        <is>
          <t>A 44218-2019</t>
        </is>
      </c>
      <c r="B75" s="1" t="n">
        <v>43710</v>
      </c>
      <c r="C75" s="1" t="n">
        <v>45567</v>
      </c>
      <c r="D75" t="inlineStr">
        <is>
          <t>GÄVLEBORGS LÄN</t>
        </is>
      </c>
      <c r="E75" t="inlineStr">
        <is>
          <t>HOFORS</t>
        </is>
      </c>
      <c r="F75" t="inlineStr">
        <is>
          <t>Sveaskog</t>
        </is>
      </c>
      <c r="G75" t="n">
        <v>3.1</v>
      </c>
      <c r="H75" t="n">
        <v>0</v>
      </c>
      <c r="I75" t="n">
        <v>0</v>
      </c>
      <c r="J75" t="n">
        <v>0</v>
      </c>
      <c r="K75" t="n">
        <v>0</v>
      </c>
      <c r="L75" t="n">
        <v>0</v>
      </c>
      <c r="M75" t="n">
        <v>0</v>
      </c>
      <c r="N75" t="n">
        <v>0</v>
      </c>
      <c r="O75" t="n">
        <v>0</v>
      </c>
      <c r="P75" t="n">
        <v>0</v>
      </c>
      <c r="Q75" t="n">
        <v>0</v>
      </c>
      <c r="R75" s="2" t="inlineStr"/>
    </row>
    <row r="76" ht="15" customHeight="1">
      <c r="A76" t="inlineStr">
        <is>
          <t>A 44196-2019</t>
        </is>
      </c>
      <c r="B76" s="1" t="n">
        <v>43710</v>
      </c>
      <c r="C76" s="1" t="n">
        <v>45567</v>
      </c>
      <c r="D76" t="inlineStr">
        <is>
          <t>GÄVLEBORGS LÄN</t>
        </is>
      </c>
      <c r="E76" t="inlineStr">
        <is>
          <t>HOFORS</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46153-2019</t>
        </is>
      </c>
      <c r="B77" s="1" t="n">
        <v>43718</v>
      </c>
      <c r="C77" s="1" t="n">
        <v>45567</v>
      </c>
      <c r="D77" t="inlineStr">
        <is>
          <t>GÄVLEBORGS LÄN</t>
        </is>
      </c>
      <c r="E77" t="inlineStr">
        <is>
          <t>HOFORS</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46161-2019</t>
        </is>
      </c>
      <c r="B78" s="1" t="n">
        <v>43718</v>
      </c>
      <c r="C78" s="1" t="n">
        <v>45567</v>
      </c>
      <c r="D78" t="inlineStr">
        <is>
          <t>GÄVLEBORGS LÄN</t>
        </is>
      </c>
      <c r="E78" t="inlineStr">
        <is>
          <t>HOFORS</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49361-2019</t>
        </is>
      </c>
      <c r="B79" s="1" t="n">
        <v>43731</v>
      </c>
      <c r="C79" s="1" t="n">
        <v>45567</v>
      </c>
      <c r="D79" t="inlineStr">
        <is>
          <t>GÄVLEBORGS LÄN</t>
        </is>
      </c>
      <c r="E79" t="inlineStr">
        <is>
          <t>HOFORS</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49296-2019</t>
        </is>
      </c>
      <c r="B80" s="1" t="n">
        <v>43731</v>
      </c>
      <c r="C80" s="1" t="n">
        <v>45567</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50696-2019</t>
        </is>
      </c>
      <c r="B81" s="1" t="n">
        <v>43738</v>
      </c>
      <c r="C81" s="1" t="n">
        <v>45567</v>
      </c>
      <c r="D81" t="inlineStr">
        <is>
          <t>GÄVLEBORGS LÄN</t>
        </is>
      </c>
      <c r="E81" t="inlineStr">
        <is>
          <t>HOFORS</t>
        </is>
      </c>
      <c r="F81" t="inlineStr">
        <is>
          <t>Sveaskog</t>
        </is>
      </c>
      <c r="G81" t="n">
        <v>0.2</v>
      </c>
      <c r="H81" t="n">
        <v>0</v>
      </c>
      <c r="I81" t="n">
        <v>0</v>
      </c>
      <c r="J81" t="n">
        <v>0</v>
      </c>
      <c r="K81" t="n">
        <v>0</v>
      </c>
      <c r="L81" t="n">
        <v>0</v>
      </c>
      <c r="M81" t="n">
        <v>0</v>
      </c>
      <c r="N81" t="n">
        <v>0</v>
      </c>
      <c r="O81" t="n">
        <v>0</v>
      </c>
      <c r="P81" t="n">
        <v>0</v>
      </c>
      <c r="Q81" t="n">
        <v>0</v>
      </c>
      <c r="R81" s="2" t="inlineStr"/>
    </row>
    <row r="82" ht="15" customHeight="1">
      <c r="A82" t="inlineStr">
        <is>
          <t>A 50694-2019</t>
        </is>
      </c>
      <c r="B82" s="1" t="n">
        <v>43738</v>
      </c>
      <c r="C82" s="1" t="n">
        <v>45567</v>
      </c>
      <c r="D82" t="inlineStr">
        <is>
          <t>GÄVLEBORGS LÄN</t>
        </is>
      </c>
      <c r="E82" t="inlineStr">
        <is>
          <t>HOFORS</t>
        </is>
      </c>
      <c r="G82" t="n">
        <v>0.6</v>
      </c>
      <c r="H82" t="n">
        <v>0</v>
      </c>
      <c r="I82" t="n">
        <v>0</v>
      </c>
      <c r="J82" t="n">
        <v>0</v>
      </c>
      <c r="K82" t="n">
        <v>0</v>
      </c>
      <c r="L82" t="n">
        <v>0</v>
      </c>
      <c r="M82" t="n">
        <v>0</v>
      </c>
      <c r="N82" t="n">
        <v>0</v>
      </c>
      <c r="O82" t="n">
        <v>0</v>
      </c>
      <c r="P82" t="n">
        <v>0</v>
      </c>
      <c r="Q82" t="n">
        <v>0</v>
      </c>
      <c r="R82" s="2" t="inlineStr"/>
    </row>
    <row r="83" ht="15" customHeight="1">
      <c r="A83" t="inlineStr">
        <is>
          <t>A 51927-2019</t>
        </is>
      </c>
      <c r="B83" s="1" t="n">
        <v>43741</v>
      </c>
      <c r="C83" s="1" t="n">
        <v>45567</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53312-2019</t>
        </is>
      </c>
      <c r="B84" s="1" t="n">
        <v>43748</v>
      </c>
      <c r="C84" s="1" t="n">
        <v>45567</v>
      </c>
      <c r="D84" t="inlineStr">
        <is>
          <t>GÄVLEBORGS LÄN</t>
        </is>
      </c>
      <c r="E84" t="inlineStr">
        <is>
          <t>HOFORS</t>
        </is>
      </c>
      <c r="G84" t="n">
        <v>3.5</v>
      </c>
      <c r="H84" t="n">
        <v>0</v>
      </c>
      <c r="I84" t="n">
        <v>0</v>
      </c>
      <c r="J84" t="n">
        <v>0</v>
      </c>
      <c r="K84" t="n">
        <v>0</v>
      </c>
      <c r="L84" t="n">
        <v>0</v>
      </c>
      <c r="M84" t="n">
        <v>0</v>
      </c>
      <c r="N84" t="n">
        <v>0</v>
      </c>
      <c r="O84" t="n">
        <v>0</v>
      </c>
      <c r="P84" t="n">
        <v>0</v>
      </c>
      <c r="Q84" t="n">
        <v>0</v>
      </c>
      <c r="R84" s="2" t="inlineStr"/>
    </row>
    <row r="85" ht="15" customHeight="1">
      <c r="A85" t="inlineStr">
        <is>
          <t>A 53850-2019</t>
        </is>
      </c>
      <c r="B85" s="1" t="n">
        <v>43752</v>
      </c>
      <c r="C85" s="1" t="n">
        <v>45567</v>
      </c>
      <c r="D85" t="inlineStr">
        <is>
          <t>GÄVLEBORGS LÄN</t>
        </is>
      </c>
      <c r="E85" t="inlineStr">
        <is>
          <t>HOFORS</t>
        </is>
      </c>
      <c r="F85" t="inlineStr">
        <is>
          <t>Sveaskog</t>
        </is>
      </c>
      <c r="G85" t="n">
        <v>6.1</v>
      </c>
      <c r="H85" t="n">
        <v>0</v>
      </c>
      <c r="I85" t="n">
        <v>0</v>
      </c>
      <c r="J85" t="n">
        <v>0</v>
      </c>
      <c r="K85" t="n">
        <v>0</v>
      </c>
      <c r="L85" t="n">
        <v>0</v>
      </c>
      <c r="M85" t="n">
        <v>0</v>
      </c>
      <c r="N85" t="n">
        <v>0</v>
      </c>
      <c r="O85" t="n">
        <v>0</v>
      </c>
      <c r="P85" t="n">
        <v>0</v>
      </c>
      <c r="Q85" t="n">
        <v>0</v>
      </c>
      <c r="R85" s="2" t="inlineStr"/>
    </row>
    <row r="86" ht="15" customHeight="1">
      <c r="A86" t="inlineStr">
        <is>
          <t>A 53908-2019</t>
        </is>
      </c>
      <c r="B86" s="1" t="n">
        <v>43752</v>
      </c>
      <c r="C86" s="1" t="n">
        <v>45567</v>
      </c>
      <c r="D86" t="inlineStr">
        <is>
          <t>GÄVLEBORGS LÄN</t>
        </is>
      </c>
      <c r="E86" t="inlineStr">
        <is>
          <t>HOFORS</t>
        </is>
      </c>
      <c r="F86" t="inlineStr">
        <is>
          <t>Sveaskog</t>
        </is>
      </c>
      <c r="G86" t="n">
        <v>2.3</v>
      </c>
      <c r="H86" t="n">
        <v>0</v>
      </c>
      <c r="I86" t="n">
        <v>0</v>
      </c>
      <c r="J86" t="n">
        <v>0</v>
      </c>
      <c r="K86" t="n">
        <v>0</v>
      </c>
      <c r="L86" t="n">
        <v>0</v>
      </c>
      <c r="M86" t="n">
        <v>0</v>
      </c>
      <c r="N86" t="n">
        <v>0</v>
      </c>
      <c r="O86" t="n">
        <v>0</v>
      </c>
      <c r="P86" t="n">
        <v>0</v>
      </c>
      <c r="Q86" t="n">
        <v>0</v>
      </c>
      <c r="R86" s="2" t="inlineStr"/>
    </row>
    <row r="87" ht="15" customHeight="1">
      <c r="A87" t="inlineStr">
        <is>
          <t>A 53975-2019</t>
        </is>
      </c>
      <c r="B87" s="1" t="n">
        <v>43752</v>
      </c>
      <c r="C87" s="1" t="n">
        <v>45567</v>
      </c>
      <c r="D87" t="inlineStr">
        <is>
          <t>GÄVLEBORGS LÄN</t>
        </is>
      </c>
      <c r="E87" t="inlineStr">
        <is>
          <t>HOFORS</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53930-2019</t>
        </is>
      </c>
      <c r="B88" s="1" t="n">
        <v>43752</v>
      </c>
      <c r="C88" s="1" t="n">
        <v>45567</v>
      </c>
      <c r="D88" t="inlineStr">
        <is>
          <t>GÄVLEBORGS LÄN</t>
        </is>
      </c>
      <c r="E88" t="inlineStr">
        <is>
          <t>HOFORS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54934-2019</t>
        </is>
      </c>
      <c r="B89" s="1" t="n">
        <v>43755</v>
      </c>
      <c r="C89" s="1" t="n">
        <v>45567</v>
      </c>
      <c r="D89" t="inlineStr">
        <is>
          <t>GÄVLEBORGS LÄN</t>
        </is>
      </c>
      <c r="E89" t="inlineStr">
        <is>
          <t>HOFORS</t>
        </is>
      </c>
      <c r="G89" t="n">
        <v>2</v>
      </c>
      <c r="H89" t="n">
        <v>0</v>
      </c>
      <c r="I89" t="n">
        <v>0</v>
      </c>
      <c r="J89" t="n">
        <v>0</v>
      </c>
      <c r="K89" t="n">
        <v>0</v>
      </c>
      <c r="L89" t="n">
        <v>0</v>
      </c>
      <c r="M89" t="n">
        <v>0</v>
      </c>
      <c r="N89" t="n">
        <v>0</v>
      </c>
      <c r="O89" t="n">
        <v>0</v>
      </c>
      <c r="P89" t="n">
        <v>0</v>
      </c>
      <c r="Q89" t="n">
        <v>0</v>
      </c>
      <c r="R89" s="2" t="inlineStr"/>
    </row>
    <row r="90" ht="15" customHeight="1">
      <c r="A90" t="inlineStr">
        <is>
          <t>A 59116-2019</t>
        </is>
      </c>
      <c r="B90" s="1" t="n">
        <v>43775</v>
      </c>
      <c r="C90" s="1" t="n">
        <v>45567</v>
      </c>
      <c r="D90" t="inlineStr">
        <is>
          <t>GÄVLEBORGS LÄN</t>
        </is>
      </c>
      <c r="E90" t="inlineStr">
        <is>
          <t>HOFORS</t>
        </is>
      </c>
      <c r="G90" t="n">
        <v>0.5</v>
      </c>
      <c r="H90" t="n">
        <v>0</v>
      </c>
      <c r="I90" t="n">
        <v>0</v>
      </c>
      <c r="J90" t="n">
        <v>0</v>
      </c>
      <c r="K90" t="n">
        <v>0</v>
      </c>
      <c r="L90" t="n">
        <v>0</v>
      </c>
      <c r="M90" t="n">
        <v>0</v>
      </c>
      <c r="N90" t="n">
        <v>0</v>
      </c>
      <c r="O90" t="n">
        <v>0</v>
      </c>
      <c r="P90" t="n">
        <v>0</v>
      </c>
      <c r="Q90" t="n">
        <v>0</v>
      </c>
      <c r="R90" s="2" t="inlineStr"/>
    </row>
    <row r="91" ht="15" customHeight="1">
      <c r="A91" t="inlineStr">
        <is>
          <t>A 59115-2019</t>
        </is>
      </c>
      <c r="B91" s="1" t="n">
        <v>43775</v>
      </c>
      <c r="C91" s="1" t="n">
        <v>45567</v>
      </c>
      <c r="D91" t="inlineStr">
        <is>
          <t>GÄVLEBORGS LÄN</t>
        </is>
      </c>
      <c r="E91" t="inlineStr">
        <is>
          <t>HOFORS</t>
        </is>
      </c>
      <c r="G91" t="n">
        <v>0.7</v>
      </c>
      <c r="H91" t="n">
        <v>0</v>
      </c>
      <c r="I91" t="n">
        <v>0</v>
      </c>
      <c r="J91" t="n">
        <v>0</v>
      </c>
      <c r="K91" t="n">
        <v>0</v>
      </c>
      <c r="L91" t="n">
        <v>0</v>
      </c>
      <c r="M91" t="n">
        <v>0</v>
      </c>
      <c r="N91" t="n">
        <v>0</v>
      </c>
      <c r="O91" t="n">
        <v>0</v>
      </c>
      <c r="P91" t="n">
        <v>0</v>
      </c>
      <c r="Q91" t="n">
        <v>0</v>
      </c>
      <c r="R91" s="2" t="inlineStr"/>
    </row>
    <row r="92" ht="15" customHeight="1">
      <c r="A92" t="inlineStr">
        <is>
          <t>A 60049-2019</t>
        </is>
      </c>
      <c r="B92" s="1" t="n">
        <v>43777</v>
      </c>
      <c r="C92" s="1" t="n">
        <v>45567</v>
      </c>
      <c r="D92" t="inlineStr">
        <is>
          <t>GÄVLEBORGS LÄN</t>
        </is>
      </c>
      <c r="E92" t="inlineStr">
        <is>
          <t>HOFORS</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60262-2019</t>
        </is>
      </c>
      <c r="B93" s="1" t="n">
        <v>43780</v>
      </c>
      <c r="C93" s="1" t="n">
        <v>45567</v>
      </c>
      <c r="D93" t="inlineStr">
        <is>
          <t>GÄVLEBORGS LÄN</t>
        </is>
      </c>
      <c r="E93" t="inlineStr">
        <is>
          <t>HOFORS</t>
        </is>
      </c>
      <c r="F93" t="inlineStr">
        <is>
          <t>Sveaskog</t>
        </is>
      </c>
      <c r="G93" t="n">
        <v>5</v>
      </c>
      <c r="H93" t="n">
        <v>0</v>
      </c>
      <c r="I93" t="n">
        <v>0</v>
      </c>
      <c r="J93" t="n">
        <v>0</v>
      </c>
      <c r="K93" t="n">
        <v>0</v>
      </c>
      <c r="L93" t="n">
        <v>0</v>
      </c>
      <c r="M93" t="n">
        <v>0</v>
      </c>
      <c r="N93" t="n">
        <v>0</v>
      </c>
      <c r="O93" t="n">
        <v>0</v>
      </c>
      <c r="P93" t="n">
        <v>0</v>
      </c>
      <c r="Q93" t="n">
        <v>0</v>
      </c>
      <c r="R93" s="2" t="inlineStr"/>
    </row>
    <row r="94" ht="15" customHeight="1">
      <c r="A94" t="inlineStr">
        <is>
          <t>A 60552-2019</t>
        </is>
      </c>
      <c r="B94" s="1" t="n">
        <v>43781</v>
      </c>
      <c r="C94" s="1" t="n">
        <v>45567</v>
      </c>
      <c r="D94" t="inlineStr">
        <is>
          <t>GÄVLEBORGS LÄN</t>
        </is>
      </c>
      <c r="E94" t="inlineStr">
        <is>
          <t>HOFORS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62091-2019</t>
        </is>
      </c>
      <c r="B95" s="1" t="n">
        <v>43782</v>
      </c>
      <c r="C95" s="1" t="n">
        <v>45567</v>
      </c>
      <c r="D95" t="inlineStr">
        <is>
          <t>GÄVLEBORGS LÄN</t>
        </is>
      </c>
      <c r="E95" t="inlineStr">
        <is>
          <t>HOFORS</t>
        </is>
      </c>
      <c r="G95" t="n">
        <v>5</v>
      </c>
      <c r="H95" t="n">
        <v>0</v>
      </c>
      <c r="I95" t="n">
        <v>0</v>
      </c>
      <c r="J95" t="n">
        <v>0</v>
      </c>
      <c r="K95" t="n">
        <v>0</v>
      </c>
      <c r="L95" t="n">
        <v>0</v>
      </c>
      <c r="M95" t="n">
        <v>0</v>
      </c>
      <c r="N95" t="n">
        <v>0</v>
      </c>
      <c r="O95" t="n">
        <v>0</v>
      </c>
      <c r="P95" t="n">
        <v>0</v>
      </c>
      <c r="Q95" t="n">
        <v>0</v>
      </c>
      <c r="R95" s="2" t="inlineStr"/>
    </row>
    <row r="96" ht="15" customHeight="1">
      <c r="A96" t="inlineStr">
        <is>
          <t>A 61168-2019</t>
        </is>
      </c>
      <c r="B96" s="1" t="n">
        <v>43782</v>
      </c>
      <c r="C96" s="1" t="n">
        <v>45567</v>
      </c>
      <c r="D96" t="inlineStr">
        <is>
          <t>GÄVLEBORGS LÄN</t>
        </is>
      </c>
      <c r="E96" t="inlineStr">
        <is>
          <t>HOFORS</t>
        </is>
      </c>
      <c r="G96" t="n">
        <v>2.9</v>
      </c>
      <c r="H96" t="n">
        <v>0</v>
      </c>
      <c r="I96" t="n">
        <v>0</v>
      </c>
      <c r="J96" t="n">
        <v>0</v>
      </c>
      <c r="K96" t="n">
        <v>0</v>
      </c>
      <c r="L96" t="n">
        <v>0</v>
      </c>
      <c r="M96" t="n">
        <v>0</v>
      </c>
      <c r="N96" t="n">
        <v>0</v>
      </c>
      <c r="O96" t="n">
        <v>0</v>
      </c>
      <c r="P96" t="n">
        <v>0</v>
      </c>
      <c r="Q96" t="n">
        <v>0</v>
      </c>
      <c r="R96" s="2" t="inlineStr"/>
    </row>
    <row r="97" ht="15" customHeight="1">
      <c r="A97" t="inlineStr">
        <is>
          <t>A 63588-2019</t>
        </is>
      </c>
      <c r="B97" s="1" t="n">
        <v>43795</v>
      </c>
      <c r="C97" s="1" t="n">
        <v>45567</v>
      </c>
      <c r="D97" t="inlineStr">
        <is>
          <t>GÄVLEBORGS LÄN</t>
        </is>
      </c>
      <c r="E97" t="inlineStr">
        <is>
          <t>HOFORS</t>
        </is>
      </c>
      <c r="G97" t="n">
        <v>1.5</v>
      </c>
      <c r="H97" t="n">
        <v>0</v>
      </c>
      <c r="I97" t="n">
        <v>0</v>
      </c>
      <c r="J97" t="n">
        <v>0</v>
      </c>
      <c r="K97" t="n">
        <v>0</v>
      </c>
      <c r="L97" t="n">
        <v>0</v>
      </c>
      <c r="M97" t="n">
        <v>0</v>
      </c>
      <c r="N97" t="n">
        <v>0</v>
      </c>
      <c r="O97" t="n">
        <v>0</v>
      </c>
      <c r="P97" t="n">
        <v>0</v>
      </c>
      <c r="Q97" t="n">
        <v>0</v>
      </c>
      <c r="R97" s="2" t="inlineStr"/>
    </row>
    <row r="98" ht="15" customHeight="1">
      <c r="A98" t="inlineStr">
        <is>
          <t>A 63585-2019</t>
        </is>
      </c>
      <c r="B98" s="1" t="n">
        <v>43795</v>
      </c>
      <c r="C98" s="1" t="n">
        <v>45567</v>
      </c>
      <c r="D98" t="inlineStr">
        <is>
          <t>GÄVLEBORGS LÄN</t>
        </is>
      </c>
      <c r="E98" t="inlineStr">
        <is>
          <t>HOFORS</t>
        </is>
      </c>
      <c r="G98" t="n">
        <v>2.2</v>
      </c>
      <c r="H98" t="n">
        <v>0</v>
      </c>
      <c r="I98" t="n">
        <v>0</v>
      </c>
      <c r="J98" t="n">
        <v>0</v>
      </c>
      <c r="K98" t="n">
        <v>0</v>
      </c>
      <c r="L98" t="n">
        <v>0</v>
      </c>
      <c r="M98" t="n">
        <v>0</v>
      </c>
      <c r="N98" t="n">
        <v>0</v>
      </c>
      <c r="O98" t="n">
        <v>0</v>
      </c>
      <c r="P98" t="n">
        <v>0</v>
      </c>
      <c r="Q98" t="n">
        <v>0</v>
      </c>
      <c r="R98" s="2" t="inlineStr"/>
    </row>
    <row r="99" ht="15" customHeight="1">
      <c r="A99" t="inlineStr">
        <is>
          <t>A 6645-2020</t>
        </is>
      </c>
      <c r="B99" s="1" t="n">
        <v>43867</v>
      </c>
      <c r="C99" s="1" t="n">
        <v>45567</v>
      </c>
      <c r="D99" t="inlineStr">
        <is>
          <t>GÄVLEBORGS LÄN</t>
        </is>
      </c>
      <c r="E99" t="inlineStr">
        <is>
          <t>HOFORS</t>
        </is>
      </c>
      <c r="G99" t="n">
        <v>0.6</v>
      </c>
      <c r="H99" t="n">
        <v>0</v>
      </c>
      <c r="I99" t="n">
        <v>0</v>
      </c>
      <c r="J99" t="n">
        <v>0</v>
      </c>
      <c r="K99" t="n">
        <v>0</v>
      </c>
      <c r="L99" t="n">
        <v>0</v>
      </c>
      <c r="M99" t="n">
        <v>0</v>
      </c>
      <c r="N99" t="n">
        <v>0</v>
      </c>
      <c r="O99" t="n">
        <v>0</v>
      </c>
      <c r="P99" t="n">
        <v>0</v>
      </c>
      <c r="Q99" t="n">
        <v>0</v>
      </c>
      <c r="R99" s="2" t="inlineStr"/>
    </row>
    <row r="100" ht="15" customHeight="1">
      <c r="A100" t="inlineStr">
        <is>
          <t>A 6678-2020</t>
        </is>
      </c>
      <c r="B100" s="1" t="n">
        <v>43867</v>
      </c>
      <c r="C100" s="1" t="n">
        <v>45567</v>
      </c>
      <c r="D100" t="inlineStr">
        <is>
          <t>GÄVLEBORGS LÄN</t>
        </is>
      </c>
      <c r="E100" t="inlineStr">
        <is>
          <t>HOFORS</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11130-2020</t>
        </is>
      </c>
      <c r="B101" s="1" t="n">
        <v>43889</v>
      </c>
      <c r="C101" s="1" t="n">
        <v>45567</v>
      </c>
      <c r="D101" t="inlineStr">
        <is>
          <t>GÄVLEBORGS LÄN</t>
        </is>
      </c>
      <c r="E101" t="inlineStr">
        <is>
          <t>HOFORS</t>
        </is>
      </c>
      <c r="F101" t="inlineStr">
        <is>
          <t>Sveaskog</t>
        </is>
      </c>
      <c r="G101" t="n">
        <v>0.1</v>
      </c>
      <c r="H101" t="n">
        <v>0</v>
      </c>
      <c r="I101" t="n">
        <v>0</v>
      </c>
      <c r="J101" t="n">
        <v>0</v>
      </c>
      <c r="K101" t="n">
        <v>0</v>
      </c>
      <c r="L101" t="n">
        <v>0</v>
      </c>
      <c r="M101" t="n">
        <v>0</v>
      </c>
      <c r="N101" t="n">
        <v>0</v>
      </c>
      <c r="O101" t="n">
        <v>0</v>
      </c>
      <c r="P101" t="n">
        <v>0</v>
      </c>
      <c r="Q101" t="n">
        <v>0</v>
      </c>
      <c r="R101" s="2" t="inlineStr"/>
    </row>
    <row r="102" ht="15" customHeight="1">
      <c r="A102" t="inlineStr">
        <is>
          <t>A 11131-2020</t>
        </is>
      </c>
      <c r="B102" s="1" t="n">
        <v>43889</v>
      </c>
      <c r="C102" s="1" t="n">
        <v>45567</v>
      </c>
      <c r="D102" t="inlineStr">
        <is>
          <t>GÄVLEBORGS LÄN</t>
        </is>
      </c>
      <c r="E102" t="inlineStr">
        <is>
          <t>HOFORS</t>
        </is>
      </c>
      <c r="F102" t="inlineStr">
        <is>
          <t>Sveaskog</t>
        </is>
      </c>
      <c r="G102" t="n">
        <v>0.3</v>
      </c>
      <c r="H102" t="n">
        <v>0</v>
      </c>
      <c r="I102" t="n">
        <v>0</v>
      </c>
      <c r="J102" t="n">
        <v>0</v>
      </c>
      <c r="K102" t="n">
        <v>0</v>
      </c>
      <c r="L102" t="n">
        <v>0</v>
      </c>
      <c r="M102" t="n">
        <v>0</v>
      </c>
      <c r="N102" t="n">
        <v>0</v>
      </c>
      <c r="O102" t="n">
        <v>0</v>
      </c>
      <c r="P102" t="n">
        <v>0</v>
      </c>
      <c r="Q102" t="n">
        <v>0</v>
      </c>
      <c r="R102" s="2" t="inlineStr"/>
    </row>
    <row r="103" ht="15" customHeight="1">
      <c r="A103" t="inlineStr">
        <is>
          <t>A 11133-2020</t>
        </is>
      </c>
      <c r="B103" s="1" t="n">
        <v>43889</v>
      </c>
      <c r="C103" s="1" t="n">
        <v>45567</v>
      </c>
      <c r="D103" t="inlineStr">
        <is>
          <t>GÄVLEBORGS LÄN</t>
        </is>
      </c>
      <c r="E103" t="inlineStr">
        <is>
          <t>HOFORS</t>
        </is>
      </c>
      <c r="F103" t="inlineStr">
        <is>
          <t>Sveaskog</t>
        </is>
      </c>
      <c r="G103" t="n">
        <v>0.3</v>
      </c>
      <c r="H103" t="n">
        <v>0</v>
      </c>
      <c r="I103" t="n">
        <v>0</v>
      </c>
      <c r="J103" t="n">
        <v>0</v>
      </c>
      <c r="K103" t="n">
        <v>0</v>
      </c>
      <c r="L103" t="n">
        <v>0</v>
      </c>
      <c r="M103" t="n">
        <v>0</v>
      </c>
      <c r="N103" t="n">
        <v>0</v>
      </c>
      <c r="O103" t="n">
        <v>0</v>
      </c>
      <c r="P103" t="n">
        <v>0</v>
      </c>
      <c r="Q103" t="n">
        <v>0</v>
      </c>
      <c r="R103" s="2" t="inlineStr"/>
    </row>
    <row r="104" ht="15" customHeight="1">
      <c r="A104" t="inlineStr">
        <is>
          <t>A 12406-2020</t>
        </is>
      </c>
      <c r="B104" s="1" t="n">
        <v>43896</v>
      </c>
      <c r="C104" s="1" t="n">
        <v>45567</v>
      </c>
      <c r="D104" t="inlineStr">
        <is>
          <t>GÄVLEBORGS LÄN</t>
        </is>
      </c>
      <c r="E104" t="inlineStr">
        <is>
          <t>HOFORS</t>
        </is>
      </c>
      <c r="G104" t="n">
        <v>0.9</v>
      </c>
      <c r="H104" t="n">
        <v>0</v>
      </c>
      <c r="I104" t="n">
        <v>0</v>
      </c>
      <c r="J104" t="n">
        <v>0</v>
      </c>
      <c r="K104" t="n">
        <v>0</v>
      </c>
      <c r="L104" t="n">
        <v>0</v>
      </c>
      <c r="M104" t="n">
        <v>0</v>
      </c>
      <c r="N104" t="n">
        <v>0</v>
      </c>
      <c r="O104" t="n">
        <v>0</v>
      </c>
      <c r="P104" t="n">
        <v>0</v>
      </c>
      <c r="Q104" t="n">
        <v>0</v>
      </c>
      <c r="R104" s="2" t="inlineStr"/>
    </row>
    <row r="105" ht="15" customHeight="1">
      <c r="A105" t="inlineStr">
        <is>
          <t>A 28681-2020</t>
        </is>
      </c>
      <c r="B105" s="1" t="n">
        <v>43999</v>
      </c>
      <c r="C105" s="1" t="n">
        <v>45567</v>
      </c>
      <c r="D105" t="inlineStr">
        <is>
          <t>GÄVLEBORGS LÄN</t>
        </is>
      </c>
      <c r="E105" t="inlineStr">
        <is>
          <t>HOFORS</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29321-2020</t>
        </is>
      </c>
      <c r="B106" s="1" t="n">
        <v>44000</v>
      </c>
      <c r="C106" s="1" t="n">
        <v>45567</v>
      </c>
      <c r="D106" t="inlineStr">
        <is>
          <t>GÄVLEBORGS LÄN</t>
        </is>
      </c>
      <c r="E106" t="inlineStr">
        <is>
          <t>HOFORS</t>
        </is>
      </c>
      <c r="G106" t="n">
        <v>7.1</v>
      </c>
      <c r="H106" t="n">
        <v>0</v>
      </c>
      <c r="I106" t="n">
        <v>0</v>
      </c>
      <c r="J106" t="n">
        <v>0</v>
      </c>
      <c r="K106" t="n">
        <v>0</v>
      </c>
      <c r="L106" t="n">
        <v>0</v>
      </c>
      <c r="M106" t="n">
        <v>0</v>
      </c>
      <c r="N106" t="n">
        <v>0</v>
      </c>
      <c r="O106" t="n">
        <v>0</v>
      </c>
      <c r="P106" t="n">
        <v>0</v>
      </c>
      <c r="Q106" t="n">
        <v>0</v>
      </c>
      <c r="R106" s="2" t="inlineStr"/>
    </row>
    <row r="107" ht="15" customHeight="1">
      <c r="A107" t="inlineStr">
        <is>
          <t>A 31794-2020</t>
        </is>
      </c>
      <c r="B107" s="1" t="n">
        <v>44014</v>
      </c>
      <c r="C107" s="1" t="n">
        <v>45567</v>
      </c>
      <c r="D107" t="inlineStr">
        <is>
          <t>GÄVLEBORGS LÄN</t>
        </is>
      </c>
      <c r="E107" t="inlineStr">
        <is>
          <t>HOFORS</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32342-2020</t>
        </is>
      </c>
      <c r="B108" s="1" t="n">
        <v>44016</v>
      </c>
      <c r="C108" s="1" t="n">
        <v>45567</v>
      </c>
      <c r="D108" t="inlineStr">
        <is>
          <t>GÄVLEBORGS LÄN</t>
        </is>
      </c>
      <c r="E108" t="inlineStr">
        <is>
          <t>HOFORS</t>
        </is>
      </c>
      <c r="F108" t="inlineStr">
        <is>
          <t>Sveaskog</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36111-2020</t>
        </is>
      </c>
      <c r="B109" s="1" t="n">
        <v>44048</v>
      </c>
      <c r="C109" s="1" t="n">
        <v>45567</v>
      </c>
      <c r="D109" t="inlineStr">
        <is>
          <t>GÄVLEBORGS LÄN</t>
        </is>
      </c>
      <c r="E109" t="inlineStr">
        <is>
          <t>HOFORS</t>
        </is>
      </c>
      <c r="G109" t="n">
        <v>1.3</v>
      </c>
      <c r="H109" t="n">
        <v>0</v>
      </c>
      <c r="I109" t="n">
        <v>0</v>
      </c>
      <c r="J109" t="n">
        <v>0</v>
      </c>
      <c r="K109" t="n">
        <v>0</v>
      </c>
      <c r="L109" t="n">
        <v>0</v>
      </c>
      <c r="M109" t="n">
        <v>0</v>
      </c>
      <c r="N109" t="n">
        <v>0</v>
      </c>
      <c r="O109" t="n">
        <v>0</v>
      </c>
      <c r="P109" t="n">
        <v>0</v>
      </c>
      <c r="Q109" t="n">
        <v>0</v>
      </c>
      <c r="R109" s="2" t="inlineStr"/>
    </row>
    <row r="110" ht="15" customHeight="1">
      <c r="A110" t="inlineStr">
        <is>
          <t>A 36467-2020</t>
        </is>
      </c>
      <c r="B110" s="1" t="n">
        <v>44049</v>
      </c>
      <c r="C110" s="1" t="n">
        <v>45567</v>
      </c>
      <c r="D110" t="inlineStr">
        <is>
          <t>GÄVLEBORGS LÄN</t>
        </is>
      </c>
      <c r="E110" t="inlineStr">
        <is>
          <t>HOFORS</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37851-2020</t>
        </is>
      </c>
      <c r="B111" s="1" t="n">
        <v>44057</v>
      </c>
      <c r="C111" s="1" t="n">
        <v>45567</v>
      </c>
      <c r="D111" t="inlineStr">
        <is>
          <t>GÄVLEBORGS LÄN</t>
        </is>
      </c>
      <c r="E111" t="inlineStr">
        <is>
          <t>HOFORS</t>
        </is>
      </c>
      <c r="G111" t="n">
        <v>0.5</v>
      </c>
      <c r="H111" t="n">
        <v>0</v>
      </c>
      <c r="I111" t="n">
        <v>0</v>
      </c>
      <c r="J111" t="n">
        <v>0</v>
      </c>
      <c r="K111" t="n">
        <v>0</v>
      </c>
      <c r="L111" t="n">
        <v>0</v>
      </c>
      <c r="M111" t="n">
        <v>0</v>
      </c>
      <c r="N111" t="n">
        <v>0</v>
      </c>
      <c r="O111" t="n">
        <v>0</v>
      </c>
      <c r="P111" t="n">
        <v>0</v>
      </c>
      <c r="Q111" t="n">
        <v>0</v>
      </c>
      <c r="R111" s="2" t="inlineStr"/>
    </row>
    <row r="112" ht="15" customHeight="1">
      <c r="A112" t="inlineStr">
        <is>
          <t>A 42959-2020</t>
        </is>
      </c>
      <c r="B112" s="1" t="n">
        <v>44078</v>
      </c>
      <c r="C112" s="1" t="n">
        <v>45567</v>
      </c>
      <c r="D112" t="inlineStr">
        <is>
          <t>GÄVLEBORGS LÄN</t>
        </is>
      </c>
      <c r="E112" t="inlineStr">
        <is>
          <t>HOFORS</t>
        </is>
      </c>
      <c r="G112" t="n">
        <v>0.7</v>
      </c>
      <c r="H112" t="n">
        <v>0</v>
      </c>
      <c r="I112" t="n">
        <v>0</v>
      </c>
      <c r="J112" t="n">
        <v>0</v>
      </c>
      <c r="K112" t="n">
        <v>0</v>
      </c>
      <c r="L112" t="n">
        <v>0</v>
      </c>
      <c r="M112" t="n">
        <v>0</v>
      </c>
      <c r="N112" t="n">
        <v>0</v>
      </c>
      <c r="O112" t="n">
        <v>0</v>
      </c>
      <c r="P112" t="n">
        <v>0</v>
      </c>
      <c r="Q112" t="n">
        <v>0</v>
      </c>
      <c r="R112" s="2" t="inlineStr"/>
    </row>
    <row r="113" ht="15" customHeight="1">
      <c r="A113" t="inlineStr">
        <is>
          <t>A 43907-2020</t>
        </is>
      </c>
      <c r="B113" s="1" t="n">
        <v>44083</v>
      </c>
      <c r="C113" s="1" t="n">
        <v>45567</v>
      </c>
      <c r="D113" t="inlineStr">
        <is>
          <t>GÄVLEBORGS LÄN</t>
        </is>
      </c>
      <c r="E113" t="inlineStr">
        <is>
          <t>HOFORS</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44230-2020</t>
        </is>
      </c>
      <c r="B114" s="1" t="n">
        <v>44084</v>
      </c>
      <c r="C114" s="1" t="n">
        <v>45567</v>
      </c>
      <c r="D114" t="inlineStr">
        <is>
          <t>GÄVLEBORGS LÄN</t>
        </is>
      </c>
      <c r="E114" t="inlineStr">
        <is>
          <t>HOFORS</t>
        </is>
      </c>
      <c r="G114" t="n">
        <v>9.4</v>
      </c>
      <c r="H114" t="n">
        <v>0</v>
      </c>
      <c r="I114" t="n">
        <v>0</v>
      </c>
      <c r="J114" t="n">
        <v>0</v>
      </c>
      <c r="K114" t="n">
        <v>0</v>
      </c>
      <c r="L114" t="n">
        <v>0</v>
      </c>
      <c r="M114" t="n">
        <v>0</v>
      </c>
      <c r="N114" t="n">
        <v>0</v>
      </c>
      <c r="O114" t="n">
        <v>0</v>
      </c>
      <c r="P114" t="n">
        <v>0</v>
      </c>
      <c r="Q114" t="n">
        <v>0</v>
      </c>
      <c r="R114" s="2" t="inlineStr"/>
    </row>
    <row r="115" ht="15" customHeight="1">
      <c r="A115" t="inlineStr">
        <is>
          <t>A 46269-2020</t>
        </is>
      </c>
      <c r="B115" s="1" t="n">
        <v>44092</v>
      </c>
      <c r="C115" s="1" t="n">
        <v>45567</v>
      </c>
      <c r="D115" t="inlineStr">
        <is>
          <t>GÄVLEBORGS LÄN</t>
        </is>
      </c>
      <c r="E115" t="inlineStr">
        <is>
          <t>HOFORS</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46274-2020</t>
        </is>
      </c>
      <c r="B116" s="1" t="n">
        <v>44092</v>
      </c>
      <c r="C116" s="1" t="n">
        <v>45567</v>
      </c>
      <c r="D116" t="inlineStr">
        <is>
          <t>GÄVLEBORGS LÄN</t>
        </is>
      </c>
      <c r="E116" t="inlineStr">
        <is>
          <t>HOFORS</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46281-2020</t>
        </is>
      </c>
      <c r="B117" s="1" t="n">
        <v>44092</v>
      </c>
      <c r="C117" s="1" t="n">
        <v>45567</v>
      </c>
      <c r="D117" t="inlineStr">
        <is>
          <t>GÄVLEBORGS LÄN</t>
        </is>
      </c>
      <c r="E117" t="inlineStr">
        <is>
          <t>HOFORS</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46270-2020</t>
        </is>
      </c>
      <c r="B118" s="1" t="n">
        <v>44092</v>
      </c>
      <c r="C118" s="1" t="n">
        <v>45567</v>
      </c>
      <c r="D118" t="inlineStr">
        <is>
          <t>GÄVLEBORGS LÄN</t>
        </is>
      </c>
      <c r="E118" t="inlineStr">
        <is>
          <t>HOFORS</t>
        </is>
      </c>
      <c r="F118" t="inlineStr">
        <is>
          <t>Sveaskog</t>
        </is>
      </c>
      <c r="G118" t="n">
        <v>5.3</v>
      </c>
      <c r="H118" t="n">
        <v>0</v>
      </c>
      <c r="I118" t="n">
        <v>0</v>
      </c>
      <c r="J118" t="n">
        <v>0</v>
      </c>
      <c r="K118" t="n">
        <v>0</v>
      </c>
      <c r="L118" t="n">
        <v>0</v>
      </c>
      <c r="M118" t="n">
        <v>0</v>
      </c>
      <c r="N118" t="n">
        <v>0</v>
      </c>
      <c r="O118" t="n">
        <v>0</v>
      </c>
      <c r="P118" t="n">
        <v>0</v>
      </c>
      <c r="Q118" t="n">
        <v>0</v>
      </c>
      <c r="R118" s="2" t="inlineStr"/>
    </row>
    <row r="119" ht="15" customHeight="1">
      <c r="A119" t="inlineStr">
        <is>
          <t>A 46278-2020</t>
        </is>
      </c>
      <c r="B119" s="1" t="n">
        <v>44092</v>
      </c>
      <c r="C119" s="1" t="n">
        <v>45567</v>
      </c>
      <c r="D119" t="inlineStr">
        <is>
          <t>GÄVLEBORGS LÄN</t>
        </is>
      </c>
      <c r="E119" t="inlineStr">
        <is>
          <t>HOFORS</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49708-2020</t>
        </is>
      </c>
      <c r="B120" s="1" t="n">
        <v>44106</v>
      </c>
      <c r="C120" s="1" t="n">
        <v>45567</v>
      </c>
      <c r="D120" t="inlineStr">
        <is>
          <t>GÄVLEBORGS LÄN</t>
        </is>
      </c>
      <c r="E120" t="inlineStr">
        <is>
          <t>HOFORS</t>
        </is>
      </c>
      <c r="G120" t="n">
        <v>1.8</v>
      </c>
      <c r="H120" t="n">
        <v>0</v>
      </c>
      <c r="I120" t="n">
        <v>0</v>
      </c>
      <c r="J120" t="n">
        <v>0</v>
      </c>
      <c r="K120" t="n">
        <v>0</v>
      </c>
      <c r="L120" t="n">
        <v>0</v>
      </c>
      <c r="M120" t="n">
        <v>0</v>
      </c>
      <c r="N120" t="n">
        <v>0</v>
      </c>
      <c r="O120" t="n">
        <v>0</v>
      </c>
      <c r="P120" t="n">
        <v>0</v>
      </c>
      <c r="Q120" t="n">
        <v>0</v>
      </c>
      <c r="R120" s="2" t="inlineStr"/>
    </row>
    <row r="121" ht="15" customHeight="1">
      <c r="A121" t="inlineStr">
        <is>
          <t>A 55301-2020</t>
        </is>
      </c>
      <c r="B121" s="1" t="n">
        <v>44130</v>
      </c>
      <c r="C121" s="1" t="n">
        <v>45567</v>
      </c>
      <c r="D121" t="inlineStr">
        <is>
          <t>GÄVLEBORGS LÄN</t>
        </is>
      </c>
      <c r="E121" t="inlineStr">
        <is>
          <t>HOFORS</t>
        </is>
      </c>
      <c r="G121" t="n">
        <v>1.8</v>
      </c>
      <c r="H121" t="n">
        <v>0</v>
      </c>
      <c r="I121" t="n">
        <v>0</v>
      </c>
      <c r="J121" t="n">
        <v>0</v>
      </c>
      <c r="K121" t="n">
        <v>0</v>
      </c>
      <c r="L121" t="n">
        <v>0</v>
      </c>
      <c r="M121" t="n">
        <v>0</v>
      </c>
      <c r="N121" t="n">
        <v>0</v>
      </c>
      <c r="O121" t="n">
        <v>0</v>
      </c>
      <c r="P121" t="n">
        <v>0</v>
      </c>
      <c r="Q121" t="n">
        <v>0</v>
      </c>
      <c r="R121" s="2" t="inlineStr"/>
    </row>
    <row r="122" ht="15" customHeight="1">
      <c r="A122" t="inlineStr">
        <is>
          <t>A 56671-2020</t>
        </is>
      </c>
      <c r="B122" s="1" t="n">
        <v>44137</v>
      </c>
      <c r="C122" s="1" t="n">
        <v>45567</v>
      </c>
      <c r="D122" t="inlineStr">
        <is>
          <t>GÄVLEBORGS LÄN</t>
        </is>
      </c>
      <c r="E122" t="inlineStr">
        <is>
          <t>HOFORS</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56603-2020</t>
        </is>
      </c>
      <c r="B123" s="1" t="n">
        <v>44137</v>
      </c>
      <c r="C123" s="1" t="n">
        <v>45567</v>
      </c>
      <c r="D123" t="inlineStr">
        <is>
          <t>GÄVLEBORGS LÄN</t>
        </is>
      </c>
      <c r="E123" t="inlineStr">
        <is>
          <t>HOFORS</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58322-2020</t>
        </is>
      </c>
      <c r="B124" s="1" t="n">
        <v>44145</v>
      </c>
      <c r="C124" s="1" t="n">
        <v>45567</v>
      </c>
      <c r="D124" t="inlineStr">
        <is>
          <t>GÄVLEBORGS LÄN</t>
        </is>
      </c>
      <c r="E124" t="inlineStr">
        <is>
          <t>HOFORS</t>
        </is>
      </c>
      <c r="G124" t="n">
        <v>0.5</v>
      </c>
      <c r="H124" t="n">
        <v>0</v>
      </c>
      <c r="I124" t="n">
        <v>0</v>
      </c>
      <c r="J124" t="n">
        <v>0</v>
      </c>
      <c r="K124" t="n">
        <v>0</v>
      </c>
      <c r="L124" t="n">
        <v>0</v>
      </c>
      <c r="M124" t="n">
        <v>0</v>
      </c>
      <c r="N124" t="n">
        <v>0</v>
      </c>
      <c r="O124" t="n">
        <v>0</v>
      </c>
      <c r="P124" t="n">
        <v>0</v>
      </c>
      <c r="Q124" t="n">
        <v>0</v>
      </c>
      <c r="R124" s="2" t="inlineStr"/>
    </row>
    <row r="125" ht="15" customHeight="1">
      <c r="A125" t="inlineStr">
        <is>
          <t>A 58338-2020</t>
        </is>
      </c>
      <c r="B125" s="1" t="n">
        <v>44145</v>
      </c>
      <c r="C125" s="1" t="n">
        <v>45567</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61836-2020</t>
        </is>
      </c>
      <c r="B126" s="1" t="n">
        <v>44159</v>
      </c>
      <c r="C126" s="1" t="n">
        <v>45567</v>
      </c>
      <c r="D126" t="inlineStr">
        <is>
          <t>GÄVLEBORGS LÄN</t>
        </is>
      </c>
      <c r="E126" t="inlineStr">
        <is>
          <t>HOFORS</t>
        </is>
      </c>
      <c r="G126" t="n">
        <v>12.4</v>
      </c>
      <c r="H126" t="n">
        <v>0</v>
      </c>
      <c r="I126" t="n">
        <v>0</v>
      </c>
      <c r="J126" t="n">
        <v>0</v>
      </c>
      <c r="K126" t="n">
        <v>0</v>
      </c>
      <c r="L126" t="n">
        <v>0</v>
      </c>
      <c r="M126" t="n">
        <v>0</v>
      </c>
      <c r="N126" t="n">
        <v>0</v>
      </c>
      <c r="O126" t="n">
        <v>0</v>
      </c>
      <c r="P126" t="n">
        <v>0</v>
      </c>
      <c r="Q126" t="n">
        <v>0</v>
      </c>
      <c r="R126" s="2" t="inlineStr"/>
    </row>
    <row r="127" ht="15" customHeight="1">
      <c r="A127" t="inlineStr">
        <is>
          <t>A 61835-2020</t>
        </is>
      </c>
      <c r="B127" s="1" t="n">
        <v>44159</v>
      </c>
      <c r="C127" s="1" t="n">
        <v>45567</v>
      </c>
      <c r="D127" t="inlineStr">
        <is>
          <t>GÄVLEBORGS LÄN</t>
        </is>
      </c>
      <c r="E127" t="inlineStr">
        <is>
          <t>HOFORS</t>
        </is>
      </c>
      <c r="G127" t="n">
        <v>9.4</v>
      </c>
      <c r="H127" t="n">
        <v>0</v>
      </c>
      <c r="I127" t="n">
        <v>0</v>
      </c>
      <c r="J127" t="n">
        <v>0</v>
      </c>
      <c r="K127" t="n">
        <v>0</v>
      </c>
      <c r="L127" t="n">
        <v>0</v>
      </c>
      <c r="M127" t="n">
        <v>0</v>
      </c>
      <c r="N127" t="n">
        <v>0</v>
      </c>
      <c r="O127" t="n">
        <v>0</v>
      </c>
      <c r="P127" t="n">
        <v>0</v>
      </c>
      <c r="Q127" t="n">
        <v>0</v>
      </c>
      <c r="R127" s="2" t="inlineStr"/>
    </row>
    <row r="128" ht="15" customHeight="1">
      <c r="A128" t="inlineStr">
        <is>
          <t>A 62475-2020</t>
        </is>
      </c>
      <c r="B128" s="1" t="n">
        <v>44160</v>
      </c>
      <c r="C128" s="1" t="n">
        <v>45567</v>
      </c>
      <c r="D128" t="inlineStr">
        <is>
          <t>GÄVLEBORGS LÄN</t>
        </is>
      </c>
      <c r="E128" t="inlineStr">
        <is>
          <t>HOFORS</t>
        </is>
      </c>
      <c r="G128" t="n">
        <v>1.2</v>
      </c>
      <c r="H128" t="n">
        <v>0</v>
      </c>
      <c r="I128" t="n">
        <v>0</v>
      </c>
      <c r="J128" t="n">
        <v>0</v>
      </c>
      <c r="K128" t="n">
        <v>0</v>
      </c>
      <c r="L128" t="n">
        <v>0</v>
      </c>
      <c r="M128" t="n">
        <v>0</v>
      </c>
      <c r="N128" t="n">
        <v>0</v>
      </c>
      <c r="O128" t="n">
        <v>0</v>
      </c>
      <c r="P128" t="n">
        <v>0</v>
      </c>
      <c r="Q128" t="n">
        <v>0</v>
      </c>
      <c r="R128" s="2" t="inlineStr"/>
    </row>
    <row r="129" ht="15" customHeight="1">
      <c r="A129" t="inlineStr">
        <is>
          <t>A 63951-2020</t>
        </is>
      </c>
      <c r="B129" s="1" t="n">
        <v>44167</v>
      </c>
      <c r="C129" s="1" t="n">
        <v>45567</v>
      </c>
      <c r="D129" t="inlineStr">
        <is>
          <t>GÄVLEBORGS LÄN</t>
        </is>
      </c>
      <c r="E129" t="inlineStr">
        <is>
          <t>HOFORS</t>
        </is>
      </c>
      <c r="G129" t="n">
        <v>3.2</v>
      </c>
      <c r="H129" t="n">
        <v>0</v>
      </c>
      <c r="I129" t="n">
        <v>0</v>
      </c>
      <c r="J129" t="n">
        <v>0</v>
      </c>
      <c r="K129" t="n">
        <v>0</v>
      </c>
      <c r="L129" t="n">
        <v>0</v>
      </c>
      <c r="M129" t="n">
        <v>0</v>
      </c>
      <c r="N129" t="n">
        <v>0</v>
      </c>
      <c r="O129" t="n">
        <v>0</v>
      </c>
      <c r="P129" t="n">
        <v>0</v>
      </c>
      <c r="Q129" t="n">
        <v>0</v>
      </c>
      <c r="R129" s="2" t="inlineStr"/>
    </row>
    <row r="130" ht="15" customHeight="1">
      <c r="A130" t="inlineStr">
        <is>
          <t>A 68397-2020</t>
        </is>
      </c>
      <c r="B130" s="1" t="n">
        <v>44186</v>
      </c>
      <c r="C130" s="1" t="n">
        <v>45567</v>
      </c>
      <c r="D130" t="inlineStr">
        <is>
          <t>GÄVLEBORGS LÄN</t>
        </is>
      </c>
      <c r="E130" t="inlineStr">
        <is>
          <t>HOFORS</t>
        </is>
      </c>
      <c r="G130" t="n">
        <v>4.1</v>
      </c>
      <c r="H130" t="n">
        <v>0</v>
      </c>
      <c r="I130" t="n">
        <v>0</v>
      </c>
      <c r="J130" t="n">
        <v>0</v>
      </c>
      <c r="K130" t="n">
        <v>0</v>
      </c>
      <c r="L130" t="n">
        <v>0</v>
      </c>
      <c r="M130" t="n">
        <v>0</v>
      </c>
      <c r="N130" t="n">
        <v>0</v>
      </c>
      <c r="O130" t="n">
        <v>0</v>
      </c>
      <c r="P130" t="n">
        <v>0</v>
      </c>
      <c r="Q130" t="n">
        <v>0</v>
      </c>
      <c r="R130" s="2" t="inlineStr"/>
    </row>
    <row r="131" ht="15" customHeight="1">
      <c r="A131" t="inlineStr">
        <is>
          <t>A 3802-2021</t>
        </is>
      </c>
      <c r="B131" s="1" t="n">
        <v>44221</v>
      </c>
      <c r="C131" s="1" t="n">
        <v>45567</v>
      </c>
      <c r="D131" t="inlineStr">
        <is>
          <t>GÄVLEBORGS LÄN</t>
        </is>
      </c>
      <c r="E131" t="inlineStr">
        <is>
          <t>HOFORS</t>
        </is>
      </c>
      <c r="G131" t="n">
        <v>0.7</v>
      </c>
      <c r="H131" t="n">
        <v>0</v>
      </c>
      <c r="I131" t="n">
        <v>0</v>
      </c>
      <c r="J131" t="n">
        <v>0</v>
      </c>
      <c r="K131" t="n">
        <v>0</v>
      </c>
      <c r="L131" t="n">
        <v>0</v>
      </c>
      <c r="M131" t="n">
        <v>0</v>
      </c>
      <c r="N131" t="n">
        <v>0</v>
      </c>
      <c r="O131" t="n">
        <v>0</v>
      </c>
      <c r="P131" t="n">
        <v>0</v>
      </c>
      <c r="Q131" t="n">
        <v>0</v>
      </c>
      <c r="R131" s="2" t="inlineStr"/>
    </row>
    <row r="132" ht="15" customHeight="1">
      <c r="A132" t="inlineStr">
        <is>
          <t>A 5557-2021</t>
        </is>
      </c>
      <c r="B132" s="1" t="n">
        <v>44230</v>
      </c>
      <c r="C132" s="1" t="n">
        <v>45567</v>
      </c>
      <c r="D132" t="inlineStr">
        <is>
          <t>GÄVLEBORGS LÄN</t>
        </is>
      </c>
      <c r="E132" t="inlineStr">
        <is>
          <t>HOFORS</t>
        </is>
      </c>
      <c r="G132" t="n">
        <v>4</v>
      </c>
      <c r="H132" t="n">
        <v>0</v>
      </c>
      <c r="I132" t="n">
        <v>0</v>
      </c>
      <c r="J132" t="n">
        <v>0</v>
      </c>
      <c r="K132" t="n">
        <v>0</v>
      </c>
      <c r="L132" t="n">
        <v>0</v>
      </c>
      <c r="M132" t="n">
        <v>0</v>
      </c>
      <c r="N132" t="n">
        <v>0</v>
      </c>
      <c r="O132" t="n">
        <v>0</v>
      </c>
      <c r="P132" t="n">
        <v>0</v>
      </c>
      <c r="Q132" t="n">
        <v>0</v>
      </c>
      <c r="R132" s="2" t="inlineStr"/>
    </row>
    <row r="133" ht="15" customHeight="1">
      <c r="A133" t="inlineStr">
        <is>
          <t>A 12057-2021</t>
        </is>
      </c>
      <c r="B133" s="1" t="n">
        <v>44266</v>
      </c>
      <c r="C133" s="1" t="n">
        <v>45567</v>
      </c>
      <c r="D133" t="inlineStr">
        <is>
          <t>GÄVLEBORGS LÄN</t>
        </is>
      </c>
      <c r="E133" t="inlineStr">
        <is>
          <t>HOFORS</t>
        </is>
      </c>
      <c r="G133" t="n">
        <v>2.6</v>
      </c>
      <c r="H133" t="n">
        <v>0</v>
      </c>
      <c r="I133" t="n">
        <v>0</v>
      </c>
      <c r="J133" t="n">
        <v>0</v>
      </c>
      <c r="K133" t="n">
        <v>0</v>
      </c>
      <c r="L133" t="n">
        <v>0</v>
      </c>
      <c r="M133" t="n">
        <v>0</v>
      </c>
      <c r="N133" t="n">
        <v>0</v>
      </c>
      <c r="O133" t="n">
        <v>0</v>
      </c>
      <c r="P133" t="n">
        <v>0</v>
      </c>
      <c r="Q133" t="n">
        <v>0</v>
      </c>
      <c r="R133" s="2" t="inlineStr"/>
    </row>
    <row r="134" ht="15" customHeight="1">
      <c r="A134" t="inlineStr">
        <is>
          <t>A 12399-2021</t>
        </is>
      </c>
      <c r="B134" s="1" t="n">
        <v>44267</v>
      </c>
      <c r="C134" s="1" t="n">
        <v>45567</v>
      </c>
      <c r="D134" t="inlineStr">
        <is>
          <t>GÄVLEBORGS LÄN</t>
        </is>
      </c>
      <c r="E134" t="inlineStr">
        <is>
          <t>HOFORS</t>
        </is>
      </c>
      <c r="G134" t="n">
        <v>1.6</v>
      </c>
      <c r="H134" t="n">
        <v>0</v>
      </c>
      <c r="I134" t="n">
        <v>0</v>
      </c>
      <c r="J134" t="n">
        <v>0</v>
      </c>
      <c r="K134" t="n">
        <v>0</v>
      </c>
      <c r="L134" t="n">
        <v>0</v>
      </c>
      <c r="M134" t="n">
        <v>0</v>
      </c>
      <c r="N134" t="n">
        <v>0</v>
      </c>
      <c r="O134" t="n">
        <v>0</v>
      </c>
      <c r="P134" t="n">
        <v>0</v>
      </c>
      <c r="Q134" t="n">
        <v>0</v>
      </c>
      <c r="R134" s="2" t="inlineStr"/>
    </row>
    <row r="135" ht="15" customHeight="1">
      <c r="A135" t="inlineStr">
        <is>
          <t>A 16985-2021</t>
        </is>
      </c>
      <c r="B135" s="1" t="n">
        <v>44295</v>
      </c>
      <c r="C135" s="1" t="n">
        <v>45567</v>
      </c>
      <c r="D135" t="inlineStr">
        <is>
          <t>GÄVLEBORGS LÄN</t>
        </is>
      </c>
      <c r="E135" t="inlineStr">
        <is>
          <t>HOFORS</t>
        </is>
      </c>
      <c r="G135" t="n">
        <v>0.6</v>
      </c>
      <c r="H135" t="n">
        <v>0</v>
      </c>
      <c r="I135" t="n">
        <v>0</v>
      </c>
      <c r="J135" t="n">
        <v>0</v>
      </c>
      <c r="K135" t="n">
        <v>0</v>
      </c>
      <c r="L135" t="n">
        <v>0</v>
      </c>
      <c r="M135" t="n">
        <v>0</v>
      </c>
      <c r="N135" t="n">
        <v>0</v>
      </c>
      <c r="O135" t="n">
        <v>0</v>
      </c>
      <c r="P135" t="n">
        <v>0</v>
      </c>
      <c r="Q135" t="n">
        <v>0</v>
      </c>
      <c r="R135" s="2" t="inlineStr"/>
    </row>
    <row r="136" ht="15" customHeight="1">
      <c r="A136" t="inlineStr">
        <is>
          <t>A 20119-2021</t>
        </is>
      </c>
      <c r="B136" s="1" t="n">
        <v>44314</v>
      </c>
      <c r="C136" s="1" t="n">
        <v>45567</v>
      </c>
      <c r="D136" t="inlineStr">
        <is>
          <t>GÄVLEBORGS LÄN</t>
        </is>
      </c>
      <c r="E136" t="inlineStr">
        <is>
          <t>HOFORS</t>
        </is>
      </c>
      <c r="G136" t="n">
        <v>3.9</v>
      </c>
      <c r="H136" t="n">
        <v>0</v>
      </c>
      <c r="I136" t="n">
        <v>0</v>
      </c>
      <c r="J136" t="n">
        <v>0</v>
      </c>
      <c r="K136" t="n">
        <v>0</v>
      </c>
      <c r="L136" t="n">
        <v>0</v>
      </c>
      <c r="M136" t="n">
        <v>0</v>
      </c>
      <c r="N136" t="n">
        <v>0</v>
      </c>
      <c r="O136" t="n">
        <v>0</v>
      </c>
      <c r="P136" t="n">
        <v>0</v>
      </c>
      <c r="Q136" t="n">
        <v>0</v>
      </c>
      <c r="R136" s="2" t="inlineStr"/>
    </row>
    <row r="137" ht="15" customHeight="1">
      <c r="A137" t="inlineStr">
        <is>
          <t>A 24851-2021</t>
        </is>
      </c>
      <c r="B137" s="1" t="n">
        <v>44340</v>
      </c>
      <c r="C137" s="1" t="n">
        <v>45567</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31123-2021</t>
        </is>
      </c>
      <c r="B138" s="1" t="n">
        <v>44368</v>
      </c>
      <c r="C138" s="1" t="n">
        <v>45567</v>
      </c>
      <c r="D138" t="inlineStr">
        <is>
          <t>GÄVLEBORGS LÄN</t>
        </is>
      </c>
      <c r="E138" t="inlineStr">
        <is>
          <t>HOFORS</t>
        </is>
      </c>
      <c r="G138" t="n">
        <v>1</v>
      </c>
      <c r="H138" t="n">
        <v>0</v>
      </c>
      <c r="I138" t="n">
        <v>0</v>
      </c>
      <c r="J138" t="n">
        <v>0</v>
      </c>
      <c r="K138" t="n">
        <v>0</v>
      </c>
      <c r="L138" t="n">
        <v>0</v>
      </c>
      <c r="M138" t="n">
        <v>0</v>
      </c>
      <c r="N138" t="n">
        <v>0</v>
      </c>
      <c r="O138" t="n">
        <v>0</v>
      </c>
      <c r="P138" t="n">
        <v>0</v>
      </c>
      <c r="Q138" t="n">
        <v>0</v>
      </c>
      <c r="R138" s="2" t="inlineStr"/>
    </row>
    <row r="139" ht="15" customHeight="1">
      <c r="A139" t="inlineStr">
        <is>
          <t>A 43274-2021</t>
        </is>
      </c>
      <c r="B139" s="1" t="n">
        <v>44432</v>
      </c>
      <c r="C139" s="1" t="n">
        <v>45567</v>
      </c>
      <c r="D139" t="inlineStr">
        <is>
          <t>GÄVLEBORGS LÄN</t>
        </is>
      </c>
      <c r="E139" t="inlineStr">
        <is>
          <t>HOFORS</t>
        </is>
      </c>
      <c r="F139" t="inlineStr">
        <is>
          <t>Sveaskog</t>
        </is>
      </c>
      <c r="G139" t="n">
        <v>5.8</v>
      </c>
      <c r="H139" t="n">
        <v>0</v>
      </c>
      <c r="I139" t="n">
        <v>0</v>
      </c>
      <c r="J139" t="n">
        <v>0</v>
      </c>
      <c r="K139" t="n">
        <v>0</v>
      </c>
      <c r="L139" t="n">
        <v>0</v>
      </c>
      <c r="M139" t="n">
        <v>0</v>
      </c>
      <c r="N139" t="n">
        <v>0</v>
      </c>
      <c r="O139" t="n">
        <v>0</v>
      </c>
      <c r="P139" t="n">
        <v>0</v>
      </c>
      <c r="Q139" t="n">
        <v>0</v>
      </c>
      <c r="R139" s="2" t="inlineStr"/>
    </row>
    <row r="140" ht="15" customHeight="1">
      <c r="A140" t="inlineStr">
        <is>
          <t>A 43282-2021</t>
        </is>
      </c>
      <c r="B140" s="1" t="n">
        <v>44432</v>
      </c>
      <c r="C140" s="1" t="n">
        <v>45567</v>
      </c>
      <c r="D140" t="inlineStr">
        <is>
          <t>GÄVLEBORGS LÄN</t>
        </is>
      </c>
      <c r="E140" t="inlineStr">
        <is>
          <t>HOFORS</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46364-2021</t>
        </is>
      </c>
      <c r="B141" s="1" t="n">
        <v>44442</v>
      </c>
      <c r="C141" s="1" t="n">
        <v>45567</v>
      </c>
      <c r="D141" t="inlineStr">
        <is>
          <t>GÄVLEBORGS LÄN</t>
        </is>
      </c>
      <c r="E141" t="inlineStr">
        <is>
          <t>HOFORS</t>
        </is>
      </c>
      <c r="F141" t="inlineStr">
        <is>
          <t>Sveaskog</t>
        </is>
      </c>
      <c r="G141" t="n">
        <v>4.4</v>
      </c>
      <c r="H141" t="n">
        <v>0</v>
      </c>
      <c r="I141" t="n">
        <v>0</v>
      </c>
      <c r="J141" t="n">
        <v>0</v>
      </c>
      <c r="K141" t="n">
        <v>0</v>
      </c>
      <c r="L141" t="n">
        <v>0</v>
      </c>
      <c r="M141" t="n">
        <v>0</v>
      </c>
      <c r="N141" t="n">
        <v>0</v>
      </c>
      <c r="O141" t="n">
        <v>0</v>
      </c>
      <c r="P141" t="n">
        <v>0</v>
      </c>
      <c r="Q141" t="n">
        <v>0</v>
      </c>
      <c r="R141" s="2" t="inlineStr"/>
      <c r="U141">
        <f>HYPERLINK("https://klasma.github.io/Logging_2104/knärot/A 46364-2021 karta knärot.png", "A 46364-2021")</f>
        <v/>
      </c>
      <c r="V141">
        <f>HYPERLINK("https://klasma.github.io/Logging_2104/klagomål/A 46364-2021 FSC-klagomål.docx", "A 46364-2021")</f>
        <v/>
      </c>
      <c r="W141">
        <f>HYPERLINK("https://klasma.github.io/Logging_2104/klagomålsmail/A 46364-2021 FSC-klagomål mail.docx", "A 46364-2021")</f>
        <v/>
      </c>
      <c r="X141">
        <f>HYPERLINK("https://klasma.github.io/Logging_2104/tillsyn/A 46364-2021 tillsynsbegäran.docx", "A 46364-2021")</f>
        <v/>
      </c>
      <c r="Y141">
        <f>HYPERLINK("https://klasma.github.io/Logging_2104/tillsynsmail/A 46364-2021 tillsynsbegäran mail.docx", "A 46364-2021")</f>
        <v/>
      </c>
    </row>
    <row r="142" ht="15" customHeight="1">
      <c r="A142" t="inlineStr">
        <is>
          <t>A 47531-2021</t>
        </is>
      </c>
      <c r="B142" s="1" t="n">
        <v>44447</v>
      </c>
      <c r="C142" s="1" t="n">
        <v>45567</v>
      </c>
      <c r="D142" t="inlineStr">
        <is>
          <t>GÄVLEBORGS LÄN</t>
        </is>
      </c>
      <c r="E142" t="inlineStr">
        <is>
          <t>HOFORS</t>
        </is>
      </c>
      <c r="G142" t="n">
        <v>7.6</v>
      </c>
      <c r="H142" t="n">
        <v>0</v>
      </c>
      <c r="I142" t="n">
        <v>0</v>
      </c>
      <c r="J142" t="n">
        <v>0</v>
      </c>
      <c r="K142" t="n">
        <v>0</v>
      </c>
      <c r="L142" t="n">
        <v>0</v>
      </c>
      <c r="M142" t="n">
        <v>0</v>
      </c>
      <c r="N142" t="n">
        <v>0</v>
      </c>
      <c r="O142" t="n">
        <v>0</v>
      </c>
      <c r="P142" t="n">
        <v>0</v>
      </c>
      <c r="Q142" t="n">
        <v>0</v>
      </c>
      <c r="R142" s="2" t="inlineStr"/>
    </row>
    <row r="143" ht="15" customHeight="1">
      <c r="A143" t="inlineStr">
        <is>
          <t>A 47485-2021</t>
        </is>
      </c>
      <c r="B143" s="1" t="n">
        <v>44447</v>
      </c>
      <c r="C143" s="1" t="n">
        <v>45567</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47538-2021</t>
        </is>
      </c>
      <c r="B144" s="1" t="n">
        <v>44447</v>
      </c>
      <c r="C144" s="1" t="n">
        <v>45567</v>
      </c>
      <c r="D144" t="inlineStr">
        <is>
          <t>GÄVLEBORGS LÄN</t>
        </is>
      </c>
      <c r="E144" t="inlineStr">
        <is>
          <t>HOFORS</t>
        </is>
      </c>
      <c r="G144" t="n">
        <v>1.6</v>
      </c>
      <c r="H144" t="n">
        <v>0</v>
      </c>
      <c r="I144" t="n">
        <v>0</v>
      </c>
      <c r="J144" t="n">
        <v>0</v>
      </c>
      <c r="K144" t="n">
        <v>0</v>
      </c>
      <c r="L144" t="n">
        <v>0</v>
      </c>
      <c r="M144" t="n">
        <v>0</v>
      </c>
      <c r="N144" t="n">
        <v>0</v>
      </c>
      <c r="O144" t="n">
        <v>0</v>
      </c>
      <c r="P144" t="n">
        <v>0</v>
      </c>
      <c r="Q144" t="n">
        <v>0</v>
      </c>
      <c r="R144" s="2" t="inlineStr"/>
    </row>
    <row r="145" ht="15" customHeight="1">
      <c r="A145" t="inlineStr">
        <is>
          <t>A 47639-2021</t>
        </is>
      </c>
      <c r="B145" s="1" t="n">
        <v>44448</v>
      </c>
      <c r="C145" s="1" t="n">
        <v>45567</v>
      </c>
      <c r="D145" t="inlineStr">
        <is>
          <t>GÄVLEBORGS LÄN</t>
        </is>
      </c>
      <c r="E145" t="inlineStr">
        <is>
          <t>HOFORS</t>
        </is>
      </c>
      <c r="G145" t="n">
        <v>2.7</v>
      </c>
      <c r="H145" t="n">
        <v>0</v>
      </c>
      <c r="I145" t="n">
        <v>0</v>
      </c>
      <c r="J145" t="n">
        <v>0</v>
      </c>
      <c r="K145" t="n">
        <v>0</v>
      </c>
      <c r="L145" t="n">
        <v>0</v>
      </c>
      <c r="M145" t="n">
        <v>0</v>
      </c>
      <c r="N145" t="n">
        <v>0</v>
      </c>
      <c r="O145" t="n">
        <v>0</v>
      </c>
      <c r="P145" t="n">
        <v>0</v>
      </c>
      <c r="Q145" t="n">
        <v>0</v>
      </c>
      <c r="R145" s="2" t="inlineStr"/>
    </row>
    <row r="146" ht="15" customHeight="1">
      <c r="A146" t="inlineStr">
        <is>
          <t>A 50278-2021</t>
        </is>
      </c>
      <c r="B146" s="1" t="n">
        <v>44456</v>
      </c>
      <c r="C146" s="1" t="n">
        <v>45567</v>
      </c>
      <c r="D146" t="inlineStr">
        <is>
          <t>GÄVLEBORGS LÄN</t>
        </is>
      </c>
      <c r="E146" t="inlineStr">
        <is>
          <t>HOFORS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50681-2021</t>
        </is>
      </c>
      <c r="B147" s="1" t="n">
        <v>44460</v>
      </c>
      <c r="C147" s="1" t="n">
        <v>45567</v>
      </c>
      <c r="D147" t="inlineStr">
        <is>
          <t>GÄVLEBORGS LÄN</t>
        </is>
      </c>
      <c r="E147" t="inlineStr">
        <is>
          <t>HOFORS</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52890-2021</t>
        </is>
      </c>
      <c r="B148" s="1" t="n">
        <v>44467</v>
      </c>
      <c r="C148" s="1" t="n">
        <v>45567</v>
      </c>
      <c r="D148" t="inlineStr">
        <is>
          <t>GÄVLEBORGS LÄN</t>
        </is>
      </c>
      <c r="E148" t="inlineStr">
        <is>
          <t>HOFORS</t>
        </is>
      </c>
      <c r="G148" t="n">
        <v>1.5</v>
      </c>
      <c r="H148" t="n">
        <v>0</v>
      </c>
      <c r="I148" t="n">
        <v>0</v>
      </c>
      <c r="J148" t="n">
        <v>0</v>
      </c>
      <c r="K148" t="n">
        <v>0</v>
      </c>
      <c r="L148" t="n">
        <v>0</v>
      </c>
      <c r="M148" t="n">
        <v>0</v>
      </c>
      <c r="N148" t="n">
        <v>0</v>
      </c>
      <c r="O148" t="n">
        <v>0</v>
      </c>
      <c r="P148" t="n">
        <v>0</v>
      </c>
      <c r="Q148" t="n">
        <v>0</v>
      </c>
      <c r="R148" s="2" t="inlineStr"/>
    </row>
    <row r="149" ht="15" customHeight="1">
      <c r="A149" t="inlineStr">
        <is>
          <t>A 54154-2021</t>
        </is>
      </c>
      <c r="B149" s="1" t="n">
        <v>44470</v>
      </c>
      <c r="C149" s="1" t="n">
        <v>45567</v>
      </c>
      <c r="D149" t="inlineStr">
        <is>
          <t>GÄVLEBORGS LÄN</t>
        </is>
      </c>
      <c r="E149" t="inlineStr">
        <is>
          <t>HOFORS</t>
        </is>
      </c>
      <c r="F149" t="inlineStr">
        <is>
          <t>Bergvik skog öst AB</t>
        </is>
      </c>
      <c r="G149" t="n">
        <v>7.8</v>
      </c>
      <c r="H149" t="n">
        <v>0</v>
      </c>
      <c r="I149" t="n">
        <v>0</v>
      </c>
      <c r="J149" t="n">
        <v>0</v>
      </c>
      <c r="K149" t="n">
        <v>0</v>
      </c>
      <c r="L149" t="n">
        <v>0</v>
      </c>
      <c r="M149" t="n">
        <v>0</v>
      </c>
      <c r="N149" t="n">
        <v>0</v>
      </c>
      <c r="O149" t="n">
        <v>0</v>
      </c>
      <c r="P149" t="n">
        <v>0</v>
      </c>
      <c r="Q149" t="n">
        <v>0</v>
      </c>
      <c r="R149" s="2" t="inlineStr"/>
    </row>
    <row r="150" ht="15" customHeight="1">
      <c r="A150" t="inlineStr">
        <is>
          <t>A 54616-2021</t>
        </is>
      </c>
      <c r="B150" s="1" t="n">
        <v>44473</v>
      </c>
      <c r="C150" s="1" t="n">
        <v>45567</v>
      </c>
      <c r="D150" t="inlineStr">
        <is>
          <t>GÄVLEBORGS LÄN</t>
        </is>
      </c>
      <c r="E150" t="inlineStr">
        <is>
          <t>HOFORS</t>
        </is>
      </c>
      <c r="F150" t="inlineStr">
        <is>
          <t>Bergvik skog väst AB</t>
        </is>
      </c>
      <c r="G150" t="n">
        <v>6.9</v>
      </c>
      <c r="H150" t="n">
        <v>0</v>
      </c>
      <c r="I150" t="n">
        <v>0</v>
      </c>
      <c r="J150" t="n">
        <v>0</v>
      </c>
      <c r="K150" t="n">
        <v>0</v>
      </c>
      <c r="L150" t="n">
        <v>0</v>
      </c>
      <c r="M150" t="n">
        <v>0</v>
      </c>
      <c r="N150" t="n">
        <v>0</v>
      </c>
      <c r="O150" t="n">
        <v>0</v>
      </c>
      <c r="P150" t="n">
        <v>0</v>
      </c>
      <c r="Q150" t="n">
        <v>0</v>
      </c>
      <c r="R150" s="2" t="inlineStr"/>
    </row>
    <row r="151" ht="15" customHeight="1">
      <c r="A151" t="inlineStr">
        <is>
          <t>A 54826-2021</t>
        </is>
      </c>
      <c r="B151" s="1" t="n">
        <v>44473</v>
      </c>
      <c r="C151" s="1" t="n">
        <v>45567</v>
      </c>
      <c r="D151" t="inlineStr">
        <is>
          <t>GÄVLEBORGS LÄN</t>
        </is>
      </c>
      <c r="E151" t="inlineStr">
        <is>
          <t>HOFORS</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57632-2021</t>
        </is>
      </c>
      <c r="B152" s="1" t="n">
        <v>44484</v>
      </c>
      <c r="C152" s="1" t="n">
        <v>45567</v>
      </c>
      <c r="D152" t="inlineStr">
        <is>
          <t>GÄVLEBORGS LÄN</t>
        </is>
      </c>
      <c r="E152" t="inlineStr">
        <is>
          <t>HOFORS</t>
        </is>
      </c>
      <c r="G152" t="n">
        <v>4.1</v>
      </c>
      <c r="H152" t="n">
        <v>0</v>
      </c>
      <c r="I152" t="n">
        <v>0</v>
      </c>
      <c r="J152" t="n">
        <v>0</v>
      </c>
      <c r="K152" t="n">
        <v>0</v>
      </c>
      <c r="L152" t="n">
        <v>0</v>
      </c>
      <c r="M152" t="n">
        <v>0</v>
      </c>
      <c r="N152" t="n">
        <v>0</v>
      </c>
      <c r="O152" t="n">
        <v>0</v>
      </c>
      <c r="P152" t="n">
        <v>0</v>
      </c>
      <c r="Q152" t="n">
        <v>0</v>
      </c>
      <c r="R152" s="2" t="inlineStr"/>
    </row>
    <row r="153" ht="15" customHeight="1">
      <c r="A153" t="inlineStr">
        <is>
          <t>A 58240-2021</t>
        </is>
      </c>
      <c r="B153" s="1" t="n">
        <v>44487</v>
      </c>
      <c r="C153" s="1" t="n">
        <v>45567</v>
      </c>
      <c r="D153" t="inlineStr">
        <is>
          <t>GÄVLEBORGS LÄN</t>
        </is>
      </c>
      <c r="E153" t="inlineStr">
        <is>
          <t>HOFORS</t>
        </is>
      </c>
      <c r="G153" t="n">
        <v>1.1</v>
      </c>
      <c r="H153" t="n">
        <v>0</v>
      </c>
      <c r="I153" t="n">
        <v>0</v>
      </c>
      <c r="J153" t="n">
        <v>0</v>
      </c>
      <c r="K153" t="n">
        <v>0</v>
      </c>
      <c r="L153" t="n">
        <v>0</v>
      </c>
      <c r="M153" t="n">
        <v>0</v>
      </c>
      <c r="N153" t="n">
        <v>0</v>
      </c>
      <c r="O153" t="n">
        <v>0</v>
      </c>
      <c r="P153" t="n">
        <v>0</v>
      </c>
      <c r="Q153" t="n">
        <v>0</v>
      </c>
      <c r="R153" s="2" t="inlineStr"/>
    </row>
    <row r="154" ht="15" customHeight="1">
      <c r="A154" t="inlineStr">
        <is>
          <t>A 58787-2021</t>
        </is>
      </c>
      <c r="B154" s="1" t="n">
        <v>44489</v>
      </c>
      <c r="C154" s="1" t="n">
        <v>45567</v>
      </c>
      <c r="D154" t="inlineStr">
        <is>
          <t>GÄVLEBORGS LÄN</t>
        </is>
      </c>
      <c r="E154" t="inlineStr">
        <is>
          <t>HOFORS</t>
        </is>
      </c>
      <c r="G154" t="n">
        <v>1.1</v>
      </c>
      <c r="H154" t="n">
        <v>0</v>
      </c>
      <c r="I154" t="n">
        <v>0</v>
      </c>
      <c r="J154" t="n">
        <v>0</v>
      </c>
      <c r="K154" t="n">
        <v>0</v>
      </c>
      <c r="L154" t="n">
        <v>0</v>
      </c>
      <c r="M154" t="n">
        <v>0</v>
      </c>
      <c r="N154" t="n">
        <v>0</v>
      </c>
      <c r="O154" t="n">
        <v>0</v>
      </c>
      <c r="P154" t="n">
        <v>0</v>
      </c>
      <c r="Q154" t="n">
        <v>0</v>
      </c>
      <c r="R154" s="2" t="inlineStr"/>
    </row>
    <row r="155" ht="15" customHeight="1">
      <c r="A155" t="inlineStr">
        <is>
          <t>A 61687-2021</t>
        </is>
      </c>
      <c r="B155" s="1" t="n">
        <v>44501</v>
      </c>
      <c r="C155" s="1" t="n">
        <v>45567</v>
      </c>
      <c r="D155" t="inlineStr">
        <is>
          <t>GÄVLEBORGS LÄN</t>
        </is>
      </c>
      <c r="E155" t="inlineStr">
        <is>
          <t>HOFORS</t>
        </is>
      </c>
      <c r="G155" t="n">
        <v>1.6</v>
      </c>
      <c r="H155" t="n">
        <v>0</v>
      </c>
      <c r="I155" t="n">
        <v>0</v>
      </c>
      <c r="J155" t="n">
        <v>0</v>
      </c>
      <c r="K155" t="n">
        <v>0</v>
      </c>
      <c r="L155" t="n">
        <v>0</v>
      </c>
      <c r="M155" t="n">
        <v>0</v>
      </c>
      <c r="N155" t="n">
        <v>0</v>
      </c>
      <c r="O155" t="n">
        <v>0</v>
      </c>
      <c r="P155" t="n">
        <v>0</v>
      </c>
      <c r="Q155" t="n">
        <v>0</v>
      </c>
      <c r="R155" s="2" t="inlineStr"/>
    </row>
    <row r="156" ht="15" customHeight="1">
      <c r="A156" t="inlineStr">
        <is>
          <t>A 62875-2021</t>
        </is>
      </c>
      <c r="B156" s="1" t="n">
        <v>44504</v>
      </c>
      <c r="C156" s="1" t="n">
        <v>45567</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64706-2021</t>
        </is>
      </c>
      <c r="B157" s="1" t="n">
        <v>44512</v>
      </c>
      <c r="C157" s="1" t="n">
        <v>45567</v>
      </c>
      <c r="D157" t="inlineStr">
        <is>
          <t>GÄVLEBORGS LÄN</t>
        </is>
      </c>
      <c r="E157" t="inlineStr">
        <is>
          <t>HOFORS</t>
        </is>
      </c>
      <c r="G157" t="n">
        <v>0.6</v>
      </c>
      <c r="H157" t="n">
        <v>0</v>
      </c>
      <c r="I157" t="n">
        <v>0</v>
      </c>
      <c r="J157" t="n">
        <v>0</v>
      </c>
      <c r="K157" t="n">
        <v>0</v>
      </c>
      <c r="L157" t="n">
        <v>0</v>
      </c>
      <c r="M157" t="n">
        <v>0</v>
      </c>
      <c r="N157" t="n">
        <v>0</v>
      </c>
      <c r="O157" t="n">
        <v>0</v>
      </c>
      <c r="P157" t="n">
        <v>0</v>
      </c>
      <c r="Q157" t="n">
        <v>0</v>
      </c>
      <c r="R157" s="2" t="inlineStr"/>
    </row>
    <row r="158" ht="15" customHeight="1">
      <c r="A158" t="inlineStr">
        <is>
          <t>A 68079-2021</t>
        </is>
      </c>
      <c r="B158" s="1" t="n">
        <v>44526</v>
      </c>
      <c r="C158" s="1" t="n">
        <v>45567</v>
      </c>
      <c r="D158" t="inlineStr">
        <is>
          <t>GÄVLEBORGS LÄN</t>
        </is>
      </c>
      <c r="E158" t="inlineStr">
        <is>
          <t>HOFORS</t>
        </is>
      </c>
      <c r="G158" t="n">
        <v>2.3</v>
      </c>
      <c r="H158" t="n">
        <v>0</v>
      </c>
      <c r="I158" t="n">
        <v>0</v>
      </c>
      <c r="J158" t="n">
        <v>0</v>
      </c>
      <c r="K158" t="n">
        <v>0</v>
      </c>
      <c r="L158" t="n">
        <v>0</v>
      </c>
      <c r="M158" t="n">
        <v>0</v>
      </c>
      <c r="N158" t="n">
        <v>0</v>
      </c>
      <c r="O158" t="n">
        <v>0</v>
      </c>
      <c r="P158" t="n">
        <v>0</v>
      </c>
      <c r="Q158" t="n">
        <v>0</v>
      </c>
      <c r="R158" s="2" t="inlineStr"/>
    </row>
    <row r="159" ht="15" customHeight="1">
      <c r="A159" t="inlineStr">
        <is>
          <t>A 68076-2021</t>
        </is>
      </c>
      <c r="B159" s="1" t="n">
        <v>44526</v>
      </c>
      <c r="C159" s="1" t="n">
        <v>45567</v>
      </c>
      <c r="D159" t="inlineStr">
        <is>
          <t>GÄVLEBORGS LÄN</t>
        </is>
      </c>
      <c r="E159" t="inlineStr">
        <is>
          <t>HOFORS</t>
        </is>
      </c>
      <c r="G159" t="n">
        <v>4.2</v>
      </c>
      <c r="H159" t="n">
        <v>0</v>
      </c>
      <c r="I159" t="n">
        <v>0</v>
      </c>
      <c r="J159" t="n">
        <v>0</v>
      </c>
      <c r="K159" t="n">
        <v>0</v>
      </c>
      <c r="L159" t="n">
        <v>0</v>
      </c>
      <c r="M159" t="n">
        <v>0</v>
      </c>
      <c r="N159" t="n">
        <v>0</v>
      </c>
      <c r="O159" t="n">
        <v>0</v>
      </c>
      <c r="P159" t="n">
        <v>0</v>
      </c>
      <c r="Q159" t="n">
        <v>0</v>
      </c>
      <c r="R159" s="2" t="inlineStr"/>
    </row>
    <row r="160" ht="15" customHeight="1">
      <c r="A160" t="inlineStr">
        <is>
          <t>A 68078-2021</t>
        </is>
      </c>
      <c r="B160" s="1" t="n">
        <v>44526</v>
      </c>
      <c r="C160" s="1" t="n">
        <v>45567</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74255-2021</t>
        </is>
      </c>
      <c r="B161" s="1" t="n">
        <v>44558</v>
      </c>
      <c r="C161" s="1" t="n">
        <v>45567</v>
      </c>
      <c r="D161" t="inlineStr">
        <is>
          <t>GÄVLEBORGS LÄN</t>
        </is>
      </c>
      <c r="E161" t="inlineStr">
        <is>
          <t>HOFORS</t>
        </is>
      </c>
      <c r="G161" t="n">
        <v>3.4</v>
      </c>
      <c r="H161" t="n">
        <v>0</v>
      </c>
      <c r="I161" t="n">
        <v>0</v>
      </c>
      <c r="J161" t="n">
        <v>0</v>
      </c>
      <c r="K161" t="n">
        <v>0</v>
      </c>
      <c r="L161" t="n">
        <v>0</v>
      </c>
      <c r="M161" t="n">
        <v>0</v>
      </c>
      <c r="N161" t="n">
        <v>0</v>
      </c>
      <c r="O161" t="n">
        <v>0</v>
      </c>
      <c r="P161" t="n">
        <v>0</v>
      </c>
      <c r="Q161" t="n">
        <v>0</v>
      </c>
      <c r="R161" s="2" t="inlineStr"/>
    </row>
    <row r="162" ht="15" customHeight="1">
      <c r="A162" t="inlineStr">
        <is>
          <t>A 74254-2021</t>
        </is>
      </c>
      <c r="B162" s="1" t="n">
        <v>44558</v>
      </c>
      <c r="C162" s="1" t="n">
        <v>45567</v>
      </c>
      <c r="D162" t="inlineStr">
        <is>
          <t>GÄVLEBORGS LÄN</t>
        </is>
      </c>
      <c r="E162" t="inlineStr">
        <is>
          <t>HOFORS</t>
        </is>
      </c>
      <c r="G162" t="n">
        <v>8.1</v>
      </c>
      <c r="H162" t="n">
        <v>0</v>
      </c>
      <c r="I162" t="n">
        <v>0</v>
      </c>
      <c r="J162" t="n">
        <v>0</v>
      </c>
      <c r="K162" t="n">
        <v>0</v>
      </c>
      <c r="L162" t="n">
        <v>0</v>
      </c>
      <c r="M162" t="n">
        <v>0</v>
      </c>
      <c r="N162" t="n">
        <v>0</v>
      </c>
      <c r="O162" t="n">
        <v>0</v>
      </c>
      <c r="P162" t="n">
        <v>0</v>
      </c>
      <c r="Q162" t="n">
        <v>0</v>
      </c>
      <c r="R162" s="2" t="inlineStr"/>
    </row>
    <row r="163" ht="15" customHeight="1">
      <c r="A163" t="inlineStr">
        <is>
          <t>A 3052-2022</t>
        </is>
      </c>
      <c r="B163" s="1" t="n">
        <v>44582</v>
      </c>
      <c r="C163" s="1" t="n">
        <v>45567</v>
      </c>
      <c r="D163" t="inlineStr">
        <is>
          <t>GÄVLEBORGS LÄN</t>
        </is>
      </c>
      <c r="E163" t="inlineStr">
        <is>
          <t>HOFORS</t>
        </is>
      </c>
      <c r="G163" t="n">
        <v>0.7</v>
      </c>
      <c r="H163" t="n">
        <v>0</v>
      </c>
      <c r="I163" t="n">
        <v>0</v>
      </c>
      <c r="J163" t="n">
        <v>0</v>
      </c>
      <c r="K163" t="n">
        <v>0</v>
      </c>
      <c r="L163" t="n">
        <v>0</v>
      </c>
      <c r="M163" t="n">
        <v>0</v>
      </c>
      <c r="N163" t="n">
        <v>0</v>
      </c>
      <c r="O163" t="n">
        <v>0</v>
      </c>
      <c r="P163" t="n">
        <v>0</v>
      </c>
      <c r="Q163" t="n">
        <v>0</v>
      </c>
      <c r="R163" s="2" t="inlineStr"/>
    </row>
    <row r="164" ht="15" customHeight="1">
      <c r="A164" t="inlineStr">
        <is>
          <t>A 6560-2022</t>
        </is>
      </c>
      <c r="B164" s="1" t="n">
        <v>44601</v>
      </c>
      <c r="C164" s="1" t="n">
        <v>45567</v>
      </c>
      <c r="D164" t="inlineStr">
        <is>
          <t>GÄVLEBORGS LÄN</t>
        </is>
      </c>
      <c r="E164" t="inlineStr">
        <is>
          <t>HOFORS</t>
        </is>
      </c>
      <c r="G164" t="n">
        <v>12.2</v>
      </c>
      <c r="H164" t="n">
        <v>0</v>
      </c>
      <c r="I164" t="n">
        <v>0</v>
      </c>
      <c r="J164" t="n">
        <v>0</v>
      </c>
      <c r="K164" t="n">
        <v>0</v>
      </c>
      <c r="L164" t="n">
        <v>0</v>
      </c>
      <c r="M164" t="n">
        <v>0</v>
      </c>
      <c r="N164" t="n">
        <v>0</v>
      </c>
      <c r="O164" t="n">
        <v>0</v>
      </c>
      <c r="P164" t="n">
        <v>0</v>
      </c>
      <c r="Q164" t="n">
        <v>0</v>
      </c>
      <c r="R164" s="2" t="inlineStr"/>
    </row>
    <row r="165" ht="15" customHeight="1">
      <c r="A165" t="inlineStr">
        <is>
          <t>A 10184-2022</t>
        </is>
      </c>
      <c r="B165" s="1" t="n">
        <v>44622</v>
      </c>
      <c r="C165" s="1" t="n">
        <v>45567</v>
      </c>
      <c r="D165" t="inlineStr">
        <is>
          <t>GÄVLEBORGS LÄN</t>
        </is>
      </c>
      <c r="E165" t="inlineStr">
        <is>
          <t>HOFORS</t>
        </is>
      </c>
      <c r="G165" t="n">
        <v>3</v>
      </c>
      <c r="H165" t="n">
        <v>0</v>
      </c>
      <c r="I165" t="n">
        <v>0</v>
      </c>
      <c r="J165" t="n">
        <v>0</v>
      </c>
      <c r="K165" t="n">
        <v>0</v>
      </c>
      <c r="L165" t="n">
        <v>0</v>
      </c>
      <c r="M165" t="n">
        <v>0</v>
      </c>
      <c r="N165" t="n">
        <v>0</v>
      </c>
      <c r="O165" t="n">
        <v>0</v>
      </c>
      <c r="P165" t="n">
        <v>0</v>
      </c>
      <c r="Q165" t="n">
        <v>0</v>
      </c>
      <c r="R165" s="2" t="inlineStr"/>
    </row>
    <row r="166" ht="15" customHeight="1">
      <c r="A166" t="inlineStr">
        <is>
          <t>A 10587-2022</t>
        </is>
      </c>
      <c r="B166" s="1" t="n">
        <v>44624</v>
      </c>
      <c r="C166" s="1" t="n">
        <v>45567</v>
      </c>
      <c r="D166" t="inlineStr">
        <is>
          <t>GÄVLEBORGS LÄN</t>
        </is>
      </c>
      <c r="E166" t="inlineStr">
        <is>
          <t>HOFORS</t>
        </is>
      </c>
      <c r="G166" t="n">
        <v>5</v>
      </c>
      <c r="H166" t="n">
        <v>0</v>
      </c>
      <c r="I166" t="n">
        <v>0</v>
      </c>
      <c r="J166" t="n">
        <v>0</v>
      </c>
      <c r="K166" t="n">
        <v>0</v>
      </c>
      <c r="L166" t="n">
        <v>0</v>
      </c>
      <c r="M166" t="n">
        <v>0</v>
      </c>
      <c r="N166" t="n">
        <v>0</v>
      </c>
      <c r="O166" t="n">
        <v>0</v>
      </c>
      <c r="P166" t="n">
        <v>0</v>
      </c>
      <c r="Q166" t="n">
        <v>0</v>
      </c>
      <c r="R166" s="2" t="inlineStr"/>
    </row>
    <row r="167" ht="15" customHeight="1">
      <c r="A167" t="inlineStr">
        <is>
          <t>A 10602-2022</t>
        </is>
      </c>
      <c r="B167" s="1" t="n">
        <v>44624</v>
      </c>
      <c r="C167" s="1" t="n">
        <v>45567</v>
      </c>
      <c r="D167" t="inlineStr">
        <is>
          <t>GÄVLEBORGS LÄN</t>
        </is>
      </c>
      <c r="E167" t="inlineStr">
        <is>
          <t>HOFORS</t>
        </is>
      </c>
      <c r="G167" t="n">
        <v>7</v>
      </c>
      <c r="H167" t="n">
        <v>0</v>
      </c>
      <c r="I167" t="n">
        <v>0</v>
      </c>
      <c r="J167" t="n">
        <v>0</v>
      </c>
      <c r="K167" t="n">
        <v>0</v>
      </c>
      <c r="L167" t="n">
        <v>0</v>
      </c>
      <c r="M167" t="n">
        <v>0</v>
      </c>
      <c r="N167" t="n">
        <v>0</v>
      </c>
      <c r="O167" t="n">
        <v>0</v>
      </c>
      <c r="P167" t="n">
        <v>0</v>
      </c>
      <c r="Q167" t="n">
        <v>0</v>
      </c>
      <c r="R167" s="2" t="inlineStr"/>
    </row>
    <row r="168" ht="15" customHeight="1">
      <c r="A168" t="inlineStr">
        <is>
          <t>A 13807-2022</t>
        </is>
      </c>
      <c r="B168" s="1" t="n">
        <v>44649</v>
      </c>
      <c r="C168" s="1" t="n">
        <v>45567</v>
      </c>
      <c r="D168" t="inlineStr">
        <is>
          <t>GÄVLEBORGS LÄN</t>
        </is>
      </c>
      <c r="E168" t="inlineStr">
        <is>
          <t>HOFORS</t>
        </is>
      </c>
      <c r="G168" t="n">
        <v>1.1</v>
      </c>
      <c r="H168" t="n">
        <v>0</v>
      </c>
      <c r="I168" t="n">
        <v>0</v>
      </c>
      <c r="J168" t="n">
        <v>0</v>
      </c>
      <c r="K168" t="n">
        <v>0</v>
      </c>
      <c r="L168" t="n">
        <v>0</v>
      </c>
      <c r="M168" t="n">
        <v>0</v>
      </c>
      <c r="N168" t="n">
        <v>0</v>
      </c>
      <c r="O168" t="n">
        <v>0</v>
      </c>
      <c r="P168" t="n">
        <v>0</v>
      </c>
      <c r="Q168" t="n">
        <v>0</v>
      </c>
      <c r="R168" s="2" t="inlineStr"/>
    </row>
    <row r="169" ht="15" customHeight="1">
      <c r="A169" t="inlineStr">
        <is>
          <t>A 16371-2022</t>
        </is>
      </c>
      <c r="B169" s="1" t="n">
        <v>44671</v>
      </c>
      <c r="C169" s="1" t="n">
        <v>45567</v>
      </c>
      <c r="D169" t="inlineStr">
        <is>
          <t>GÄVLEBORGS LÄN</t>
        </is>
      </c>
      <c r="E169" t="inlineStr">
        <is>
          <t>HOFORS</t>
        </is>
      </c>
      <c r="G169" t="n">
        <v>0.8</v>
      </c>
      <c r="H169" t="n">
        <v>0</v>
      </c>
      <c r="I169" t="n">
        <v>0</v>
      </c>
      <c r="J169" t="n">
        <v>0</v>
      </c>
      <c r="K169" t="n">
        <v>0</v>
      </c>
      <c r="L169" t="n">
        <v>0</v>
      </c>
      <c r="M169" t="n">
        <v>0</v>
      </c>
      <c r="N169" t="n">
        <v>0</v>
      </c>
      <c r="O169" t="n">
        <v>0</v>
      </c>
      <c r="P169" t="n">
        <v>0</v>
      </c>
      <c r="Q169" t="n">
        <v>0</v>
      </c>
      <c r="R169" s="2" t="inlineStr"/>
    </row>
    <row r="170" ht="15" customHeight="1">
      <c r="A170" t="inlineStr">
        <is>
          <t>A 17762-2022</t>
        </is>
      </c>
      <c r="B170" s="1" t="n">
        <v>44680</v>
      </c>
      <c r="C170" s="1" t="n">
        <v>45567</v>
      </c>
      <c r="D170" t="inlineStr">
        <is>
          <t>GÄVLEBORGS LÄN</t>
        </is>
      </c>
      <c r="E170" t="inlineStr">
        <is>
          <t>HOFORS</t>
        </is>
      </c>
      <c r="G170" t="n">
        <v>1</v>
      </c>
      <c r="H170" t="n">
        <v>0</v>
      </c>
      <c r="I170" t="n">
        <v>0</v>
      </c>
      <c r="J170" t="n">
        <v>0</v>
      </c>
      <c r="K170" t="n">
        <v>0</v>
      </c>
      <c r="L170" t="n">
        <v>0</v>
      </c>
      <c r="M170" t="n">
        <v>0</v>
      </c>
      <c r="N170" t="n">
        <v>0</v>
      </c>
      <c r="O170" t="n">
        <v>0</v>
      </c>
      <c r="P170" t="n">
        <v>0</v>
      </c>
      <c r="Q170" t="n">
        <v>0</v>
      </c>
      <c r="R170" s="2" t="inlineStr"/>
    </row>
    <row r="171" ht="15" customHeight="1">
      <c r="A171" t="inlineStr">
        <is>
          <t>A 19135-2022</t>
        </is>
      </c>
      <c r="B171" s="1" t="n">
        <v>44691</v>
      </c>
      <c r="C171" s="1" t="n">
        <v>45567</v>
      </c>
      <c r="D171" t="inlineStr">
        <is>
          <t>GÄVLEBORGS LÄN</t>
        </is>
      </c>
      <c r="E171" t="inlineStr">
        <is>
          <t>HOFORS</t>
        </is>
      </c>
      <c r="G171" t="n">
        <v>1.5</v>
      </c>
      <c r="H171" t="n">
        <v>0</v>
      </c>
      <c r="I171" t="n">
        <v>0</v>
      </c>
      <c r="J171" t="n">
        <v>0</v>
      </c>
      <c r="K171" t="n">
        <v>0</v>
      </c>
      <c r="L171" t="n">
        <v>0</v>
      </c>
      <c r="M171" t="n">
        <v>0</v>
      </c>
      <c r="N171" t="n">
        <v>0</v>
      </c>
      <c r="O171" t="n">
        <v>0</v>
      </c>
      <c r="P171" t="n">
        <v>0</v>
      </c>
      <c r="Q171" t="n">
        <v>0</v>
      </c>
      <c r="R171" s="2" t="inlineStr"/>
    </row>
    <row r="172" ht="15" customHeight="1">
      <c r="A172" t="inlineStr">
        <is>
          <t>A 19292-2022</t>
        </is>
      </c>
      <c r="B172" s="1" t="n">
        <v>44692</v>
      </c>
      <c r="C172" s="1" t="n">
        <v>45567</v>
      </c>
      <c r="D172" t="inlineStr">
        <is>
          <t>GÄVLEBORGS LÄN</t>
        </is>
      </c>
      <c r="E172" t="inlineStr">
        <is>
          <t>HOFORS</t>
        </is>
      </c>
      <c r="G172" t="n">
        <v>0.9</v>
      </c>
      <c r="H172" t="n">
        <v>0</v>
      </c>
      <c r="I172" t="n">
        <v>0</v>
      </c>
      <c r="J172" t="n">
        <v>0</v>
      </c>
      <c r="K172" t="n">
        <v>0</v>
      </c>
      <c r="L172" t="n">
        <v>0</v>
      </c>
      <c r="M172" t="n">
        <v>0</v>
      </c>
      <c r="N172" t="n">
        <v>0</v>
      </c>
      <c r="O172" t="n">
        <v>0</v>
      </c>
      <c r="P172" t="n">
        <v>0</v>
      </c>
      <c r="Q172" t="n">
        <v>0</v>
      </c>
      <c r="R172" s="2" t="inlineStr"/>
    </row>
    <row r="173" ht="15" customHeight="1">
      <c r="A173" t="inlineStr">
        <is>
          <t>A 28870-2022</t>
        </is>
      </c>
      <c r="B173" s="1" t="n">
        <v>44749</v>
      </c>
      <c r="C173" s="1" t="n">
        <v>45567</v>
      </c>
      <c r="D173" t="inlineStr">
        <is>
          <t>GÄVLEBORGS LÄN</t>
        </is>
      </c>
      <c r="E173" t="inlineStr">
        <is>
          <t>HOFORS</t>
        </is>
      </c>
      <c r="F173" t="inlineStr">
        <is>
          <t>Sveaskog</t>
        </is>
      </c>
      <c r="G173" t="n">
        <v>5.8</v>
      </c>
      <c r="H173" t="n">
        <v>0</v>
      </c>
      <c r="I173" t="n">
        <v>0</v>
      </c>
      <c r="J173" t="n">
        <v>0</v>
      </c>
      <c r="K173" t="n">
        <v>0</v>
      </c>
      <c r="L173" t="n">
        <v>0</v>
      </c>
      <c r="M173" t="n">
        <v>0</v>
      </c>
      <c r="N173" t="n">
        <v>0</v>
      </c>
      <c r="O173" t="n">
        <v>0</v>
      </c>
      <c r="P173" t="n">
        <v>0</v>
      </c>
      <c r="Q173" t="n">
        <v>0</v>
      </c>
      <c r="R173" s="2" t="inlineStr"/>
    </row>
    <row r="174" ht="15" customHeight="1">
      <c r="A174" t="inlineStr">
        <is>
          <t>A 31205-2022</t>
        </is>
      </c>
      <c r="B174" s="1" t="n">
        <v>44770</v>
      </c>
      <c r="C174" s="1" t="n">
        <v>45567</v>
      </c>
      <c r="D174" t="inlineStr">
        <is>
          <t>GÄVLEBORGS LÄN</t>
        </is>
      </c>
      <c r="E174" t="inlineStr">
        <is>
          <t>HOFORS</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32330-2022</t>
        </is>
      </c>
      <c r="B175" s="1" t="n">
        <v>44781</v>
      </c>
      <c r="C175" s="1" t="n">
        <v>45567</v>
      </c>
      <c r="D175" t="inlineStr">
        <is>
          <t>GÄVLEBORGS LÄN</t>
        </is>
      </c>
      <c r="E175" t="inlineStr">
        <is>
          <t>HOFORS</t>
        </is>
      </c>
      <c r="F175" t="inlineStr">
        <is>
          <t>Sveaskog</t>
        </is>
      </c>
      <c r="G175" t="n">
        <v>6.9</v>
      </c>
      <c r="H175" t="n">
        <v>0</v>
      </c>
      <c r="I175" t="n">
        <v>0</v>
      </c>
      <c r="J175" t="n">
        <v>0</v>
      </c>
      <c r="K175" t="n">
        <v>0</v>
      </c>
      <c r="L175" t="n">
        <v>0</v>
      </c>
      <c r="M175" t="n">
        <v>0</v>
      </c>
      <c r="N175" t="n">
        <v>0</v>
      </c>
      <c r="O175" t="n">
        <v>0</v>
      </c>
      <c r="P175" t="n">
        <v>0</v>
      </c>
      <c r="Q175" t="n">
        <v>0</v>
      </c>
      <c r="R175" s="2" t="inlineStr"/>
    </row>
    <row r="176" ht="15" customHeight="1">
      <c r="A176" t="inlineStr">
        <is>
          <t>A 32327-2022</t>
        </is>
      </c>
      <c r="B176" s="1" t="n">
        <v>44781</v>
      </c>
      <c r="C176" s="1" t="n">
        <v>45567</v>
      </c>
      <c r="D176" t="inlineStr">
        <is>
          <t>GÄVLEBORGS LÄN</t>
        </is>
      </c>
      <c r="E176" t="inlineStr">
        <is>
          <t>HOFORS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33672-2022</t>
        </is>
      </c>
      <c r="B177" s="1" t="n">
        <v>44789</v>
      </c>
      <c r="C177" s="1" t="n">
        <v>45567</v>
      </c>
      <c r="D177" t="inlineStr">
        <is>
          <t>GÄVLEBORGS LÄN</t>
        </is>
      </c>
      <c r="E177" t="inlineStr">
        <is>
          <t>HOFORS</t>
        </is>
      </c>
      <c r="F177" t="inlineStr">
        <is>
          <t>Sveaskog</t>
        </is>
      </c>
      <c r="G177" t="n">
        <v>14.4</v>
      </c>
      <c r="H177" t="n">
        <v>0</v>
      </c>
      <c r="I177" t="n">
        <v>0</v>
      </c>
      <c r="J177" t="n">
        <v>0</v>
      </c>
      <c r="K177" t="n">
        <v>0</v>
      </c>
      <c r="L177" t="n">
        <v>0</v>
      </c>
      <c r="M177" t="n">
        <v>0</v>
      </c>
      <c r="N177" t="n">
        <v>0</v>
      </c>
      <c r="O177" t="n">
        <v>0</v>
      </c>
      <c r="P177" t="n">
        <v>0</v>
      </c>
      <c r="Q177" t="n">
        <v>0</v>
      </c>
      <c r="R177" s="2" t="inlineStr"/>
    </row>
    <row r="178" ht="15" customHeight="1">
      <c r="A178" t="inlineStr">
        <is>
          <t>A 36882-2022</t>
        </is>
      </c>
      <c r="B178" s="1" t="n">
        <v>44805</v>
      </c>
      <c r="C178" s="1" t="n">
        <v>45567</v>
      </c>
      <c r="D178" t="inlineStr">
        <is>
          <t>GÄVLEBORGS LÄN</t>
        </is>
      </c>
      <c r="E178" t="inlineStr">
        <is>
          <t>HOFORS</t>
        </is>
      </c>
      <c r="F178" t="inlineStr">
        <is>
          <t>Sveaskog</t>
        </is>
      </c>
      <c r="G178" t="n">
        <v>7.3</v>
      </c>
      <c r="H178" t="n">
        <v>0</v>
      </c>
      <c r="I178" t="n">
        <v>0</v>
      </c>
      <c r="J178" t="n">
        <v>0</v>
      </c>
      <c r="K178" t="n">
        <v>0</v>
      </c>
      <c r="L178" t="n">
        <v>0</v>
      </c>
      <c r="M178" t="n">
        <v>0</v>
      </c>
      <c r="N178" t="n">
        <v>0</v>
      </c>
      <c r="O178" t="n">
        <v>0</v>
      </c>
      <c r="P178" t="n">
        <v>0</v>
      </c>
      <c r="Q178" t="n">
        <v>0</v>
      </c>
      <c r="R178" s="2" t="inlineStr"/>
    </row>
    <row r="179" ht="15" customHeight="1">
      <c r="A179" t="inlineStr">
        <is>
          <t>A 37680-2022</t>
        </is>
      </c>
      <c r="B179" s="1" t="n">
        <v>44810</v>
      </c>
      <c r="C179" s="1" t="n">
        <v>45567</v>
      </c>
      <c r="D179" t="inlineStr">
        <is>
          <t>GÄVLEBORGS LÄN</t>
        </is>
      </c>
      <c r="E179" t="inlineStr">
        <is>
          <t>HOFORS</t>
        </is>
      </c>
      <c r="G179" t="n">
        <v>6.6</v>
      </c>
      <c r="H179" t="n">
        <v>0</v>
      </c>
      <c r="I179" t="n">
        <v>0</v>
      </c>
      <c r="J179" t="n">
        <v>0</v>
      </c>
      <c r="K179" t="n">
        <v>0</v>
      </c>
      <c r="L179" t="n">
        <v>0</v>
      </c>
      <c r="M179" t="n">
        <v>0</v>
      </c>
      <c r="N179" t="n">
        <v>0</v>
      </c>
      <c r="O179" t="n">
        <v>0</v>
      </c>
      <c r="P179" t="n">
        <v>0</v>
      </c>
      <c r="Q179" t="n">
        <v>0</v>
      </c>
      <c r="R179" s="2" t="inlineStr"/>
    </row>
    <row r="180" ht="15" customHeight="1">
      <c r="A180" t="inlineStr">
        <is>
          <t>A 37743-2022</t>
        </is>
      </c>
      <c r="B180" s="1" t="n">
        <v>44810</v>
      </c>
      <c r="C180" s="1" t="n">
        <v>45567</v>
      </c>
      <c r="D180" t="inlineStr">
        <is>
          <t>GÄVLEBORGS LÄN</t>
        </is>
      </c>
      <c r="E180" t="inlineStr">
        <is>
          <t>HOFORS</t>
        </is>
      </c>
      <c r="G180" t="n">
        <v>1.6</v>
      </c>
      <c r="H180" t="n">
        <v>0</v>
      </c>
      <c r="I180" t="n">
        <v>0</v>
      </c>
      <c r="J180" t="n">
        <v>0</v>
      </c>
      <c r="K180" t="n">
        <v>0</v>
      </c>
      <c r="L180" t="n">
        <v>0</v>
      </c>
      <c r="M180" t="n">
        <v>0</v>
      </c>
      <c r="N180" t="n">
        <v>0</v>
      </c>
      <c r="O180" t="n">
        <v>0</v>
      </c>
      <c r="P180" t="n">
        <v>0</v>
      </c>
      <c r="Q180" t="n">
        <v>0</v>
      </c>
      <c r="R180" s="2" t="inlineStr"/>
    </row>
    <row r="181" ht="15" customHeight="1">
      <c r="A181" t="inlineStr">
        <is>
          <t>A 37767-2022</t>
        </is>
      </c>
      <c r="B181" s="1" t="n">
        <v>44810</v>
      </c>
      <c r="C181" s="1" t="n">
        <v>45567</v>
      </c>
      <c r="D181" t="inlineStr">
        <is>
          <t>GÄVLEBORGS LÄN</t>
        </is>
      </c>
      <c r="E181" t="inlineStr">
        <is>
          <t>HOFORS</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37744-2022</t>
        </is>
      </c>
      <c r="B182" s="1" t="n">
        <v>44810</v>
      </c>
      <c r="C182" s="1" t="n">
        <v>45567</v>
      </c>
      <c r="D182" t="inlineStr">
        <is>
          <t>GÄVLEBORGS LÄN</t>
        </is>
      </c>
      <c r="E182" t="inlineStr">
        <is>
          <t>HOFORS</t>
        </is>
      </c>
      <c r="G182" t="n">
        <v>1.1</v>
      </c>
      <c r="H182" t="n">
        <v>0</v>
      </c>
      <c r="I182" t="n">
        <v>0</v>
      </c>
      <c r="J182" t="n">
        <v>0</v>
      </c>
      <c r="K182" t="n">
        <v>0</v>
      </c>
      <c r="L182" t="n">
        <v>0</v>
      </c>
      <c r="M182" t="n">
        <v>0</v>
      </c>
      <c r="N182" t="n">
        <v>0</v>
      </c>
      <c r="O182" t="n">
        <v>0</v>
      </c>
      <c r="P182" t="n">
        <v>0</v>
      </c>
      <c r="Q182" t="n">
        <v>0</v>
      </c>
      <c r="R182" s="2" t="inlineStr"/>
    </row>
    <row r="183" ht="15" customHeight="1">
      <c r="A183" t="inlineStr">
        <is>
          <t>A 38251-2022</t>
        </is>
      </c>
      <c r="B183" s="1" t="n">
        <v>44812</v>
      </c>
      <c r="C183" s="1" t="n">
        <v>45567</v>
      </c>
      <c r="D183" t="inlineStr">
        <is>
          <t>GÄVLEBORGS LÄN</t>
        </is>
      </c>
      <c r="E183" t="inlineStr">
        <is>
          <t>HOFORS</t>
        </is>
      </c>
      <c r="G183" t="n">
        <v>3.5</v>
      </c>
      <c r="H183" t="n">
        <v>0</v>
      </c>
      <c r="I183" t="n">
        <v>0</v>
      </c>
      <c r="J183" t="n">
        <v>0</v>
      </c>
      <c r="K183" t="n">
        <v>0</v>
      </c>
      <c r="L183" t="n">
        <v>0</v>
      </c>
      <c r="M183" t="n">
        <v>0</v>
      </c>
      <c r="N183" t="n">
        <v>0</v>
      </c>
      <c r="O183" t="n">
        <v>0</v>
      </c>
      <c r="P183" t="n">
        <v>0</v>
      </c>
      <c r="Q183" t="n">
        <v>0</v>
      </c>
      <c r="R183" s="2" t="inlineStr"/>
    </row>
    <row r="184" ht="15" customHeight="1">
      <c r="A184" t="inlineStr">
        <is>
          <t>A 38815-2022</t>
        </is>
      </c>
      <c r="B184" s="1" t="n">
        <v>44816</v>
      </c>
      <c r="C184" s="1" t="n">
        <v>45567</v>
      </c>
      <c r="D184" t="inlineStr">
        <is>
          <t>GÄVLEBORGS LÄN</t>
        </is>
      </c>
      <c r="E184" t="inlineStr">
        <is>
          <t>HOFORS</t>
        </is>
      </c>
      <c r="G184" t="n">
        <v>5.5</v>
      </c>
      <c r="H184" t="n">
        <v>0</v>
      </c>
      <c r="I184" t="n">
        <v>0</v>
      </c>
      <c r="J184" t="n">
        <v>0</v>
      </c>
      <c r="K184" t="n">
        <v>0</v>
      </c>
      <c r="L184" t="n">
        <v>0</v>
      </c>
      <c r="M184" t="n">
        <v>0</v>
      </c>
      <c r="N184" t="n">
        <v>0</v>
      </c>
      <c r="O184" t="n">
        <v>0</v>
      </c>
      <c r="P184" t="n">
        <v>0</v>
      </c>
      <c r="Q184" t="n">
        <v>0</v>
      </c>
      <c r="R184" s="2" t="inlineStr"/>
    </row>
    <row r="185" ht="15" customHeight="1">
      <c r="A185" t="inlineStr">
        <is>
          <t>A 40515-2022</t>
        </is>
      </c>
      <c r="B185" s="1" t="n">
        <v>44823</v>
      </c>
      <c r="C185" s="1" t="n">
        <v>45567</v>
      </c>
      <c r="D185" t="inlineStr">
        <is>
          <t>GÄVLEBORGS LÄN</t>
        </is>
      </c>
      <c r="E185" t="inlineStr">
        <is>
          <t>HOFORS</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40517-2022</t>
        </is>
      </c>
      <c r="B186" s="1" t="n">
        <v>44823</v>
      </c>
      <c r="C186" s="1" t="n">
        <v>45567</v>
      </c>
      <c r="D186" t="inlineStr">
        <is>
          <t>GÄVLEBORGS LÄN</t>
        </is>
      </c>
      <c r="E186" t="inlineStr">
        <is>
          <t>HOFORS</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43610-2022</t>
        </is>
      </c>
      <c r="B187" s="1" t="n">
        <v>44837</v>
      </c>
      <c r="C187" s="1" t="n">
        <v>45567</v>
      </c>
      <c r="D187" t="inlineStr">
        <is>
          <t>GÄVLEBORGS LÄN</t>
        </is>
      </c>
      <c r="E187" t="inlineStr">
        <is>
          <t>HOFORS</t>
        </is>
      </c>
      <c r="F187" t="inlineStr">
        <is>
          <t>Sveaskog</t>
        </is>
      </c>
      <c r="G187" t="n">
        <v>17.6</v>
      </c>
      <c r="H187" t="n">
        <v>0</v>
      </c>
      <c r="I187" t="n">
        <v>0</v>
      </c>
      <c r="J187" t="n">
        <v>0</v>
      </c>
      <c r="K187" t="n">
        <v>0</v>
      </c>
      <c r="L187" t="n">
        <v>0</v>
      </c>
      <c r="M187" t="n">
        <v>0</v>
      </c>
      <c r="N187" t="n">
        <v>0</v>
      </c>
      <c r="O187" t="n">
        <v>0</v>
      </c>
      <c r="P187" t="n">
        <v>0</v>
      </c>
      <c r="Q187" t="n">
        <v>0</v>
      </c>
      <c r="R187" s="2" t="inlineStr"/>
    </row>
    <row r="188" ht="15" customHeight="1">
      <c r="A188" t="inlineStr">
        <is>
          <t>A 43631-2022</t>
        </is>
      </c>
      <c r="B188" s="1" t="n">
        <v>44837</v>
      </c>
      <c r="C188" s="1" t="n">
        <v>45567</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43603-2022</t>
        </is>
      </c>
      <c r="B189" s="1" t="n">
        <v>44837</v>
      </c>
      <c r="C189" s="1" t="n">
        <v>45567</v>
      </c>
      <c r="D189" t="inlineStr">
        <is>
          <t>GÄVLEBORGS LÄN</t>
        </is>
      </c>
      <c r="E189" t="inlineStr">
        <is>
          <t>HOFORS</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51205-2022</t>
        </is>
      </c>
      <c r="B190" s="1" t="n">
        <v>44868</v>
      </c>
      <c r="C190" s="1" t="n">
        <v>45567</v>
      </c>
      <c r="D190" t="inlineStr">
        <is>
          <t>GÄVLEBORGS LÄN</t>
        </is>
      </c>
      <c r="E190" t="inlineStr">
        <is>
          <t>HOFORS</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51202-2022</t>
        </is>
      </c>
      <c r="B191" s="1" t="n">
        <v>44868</v>
      </c>
      <c r="C191" s="1" t="n">
        <v>45567</v>
      </c>
      <c r="D191" t="inlineStr">
        <is>
          <t>GÄVLEBORGS LÄN</t>
        </is>
      </c>
      <c r="E191" t="inlineStr">
        <is>
          <t>HOFORS</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51277-2022</t>
        </is>
      </c>
      <c r="B192" s="1" t="n">
        <v>44868</v>
      </c>
      <c r="C192" s="1" t="n">
        <v>45567</v>
      </c>
      <c r="D192" t="inlineStr">
        <is>
          <t>GÄVLEBORGS LÄN</t>
        </is>
      </c>
      <c r="E192" t="inlineStr">
        <is>
          <t>HOFORS</t>
        </is>
      </c>
      <c r="G192" t="n">
        <v>1.2</v>
      </c>
      <c r="H192" t="n">
        <v>0</v>
      </c>
      <c r="I192" t="n">
        <v>0</v>
      </c>
      <c r="J192" t="n">
        <v>0</v>
      </c>
      <c r="K192" t="n">
        <v>0</v>
      </c>
      <c r="L192" t="n">
        <v>0</v>
      </c>
      <c r="M192" t="n">
        <v>0</v>
      </c>
      <c r="N192" t="n">
        <v>0</v>
      </c>
      <c r="O192" t="n">
        <v>0</v>
      </c>
      <c r="P192" t="n">
        <v>0</v>
      </c>
      <c r="Q192" t="n">
        <v>0</v>
      </c>
      <c r="R192" s="2" t="inlineStr"/>
    </row>
    <row r="193" ht="15" customHeight="1">
      <c r="A193" t="inlineStr">
        <is>
          <t>A 51276-2022</t>
        </is>
      </c>
      <c r="B193" s="1" t="n">
        <v>44868</v>
      </c>
      <c r="C193" s="1" t="n">
        <v>45567</v>
      </c>
      <c r="D193" t="inlineStr">
        <is>
          <t>GÄVLEBORGS LÄN</t>
        </is>
      </c>
      <c r="E193" t="inlineStr">
        <is>
          <t>HOFORS</t>
        </is>
      </c>
      <c r="G193" t="n">
        <v>1.5</v>
      </c>
      <c r="H193" t="n">
        <v>0</v>
      </c>
      <c r="I193" t="n">
        <v>0</v>
      </c>
      <c r="J193" t="n">
        <v>0</v>
      </c>
      <c r="K193" t="n">
        <v>0</v>
      </c>
      <c r="L193" t="n">
        <v>0</v>
      </c>
      <c r="M193" t="n">
        <v>0</v>
      </c>
      <c r="N193" t="n">
        <v>0</v>
      </c>
      <c r="O193" t="n">
        <v>0</v>
      </c>
      <c r="P193" t="n">
        <v>0</v>
      </c>
      <c r="Q193" t="n">
        <v>0</v>
      </c>
      <c r="R193" s="2" t="inlineStr"/>
    </row>
    <row r="194" ht="15" customHeight="1">
      <c r="A194" t="inlineStr">
        <is>
          <t>A 52320-2022</t>
        </is>
      </c>
      <c r="B194" s="1" t="n">
        <v>44873</v>
      </c>
      <c r="C194" s="1" t="n">
        <v>45567</v>
      </c>
      <c r="D194" t="inlineStr">
        <is>
          <t>GÄVLEBORGS LÄN</t>
        </is>
      </c>
      <c r="E194" t="inlineStr">
        <is>
          <t>HOFORS</t>
        </is>
      </c>
      <c r="G194" t="n">
        <v>6.1</v>
      </c>
      <c r="H194" t="n">
        <v>0</v>
      </c>
      <c r="I194" t="n">
        <v>0</v>
      </c>
      <c r="J194" t="n">
        <v>0</v>
      </c>
      <c r="K194" t="n">
        <v>0</v>
      </c>
      <c r="L194" t="n">
        <v>0</v>
      </c>
      <c r="M194" t="n">
        <v>0</v>
      </c>
      <c r="N194" t="n">
        <v>0</v>
      </c>
      <c r="O194" t="n">
        <v>0</v>
      </c>
      <c r="P194" t="n">
        <v>0</v>
      </c>
      <c r="Q194" t="n">
        <v>0</v>
      </c>
      <c r="R194" s="2" t="inlineStr"/>
    </row>
    <row r="195" ht="15" customHeight="1">
      <c r="A195" t="inlineStr">
        <is>
          <t>A 54192-2022</t>
        </is>
      </c>
      <c r="B195" s="1" t="n">
        <v>44881</v>
      </c>
      <c r="C195" s="1" t="n">
        <v>45567</v>
      </c>
      <c r="D195" t="inlineStr">
        <is>
          <t>GÄVLEBORGS LÄN</t>
        </is>
      </c>
      <c r="E195" t="inlineStr">
        <is>
          <t>HOFORS</t>
        </is>
      </c>
      <c r="F195" t="inlineStr">
        <is>
          <t>Sveaskog</t>
        </is>
      </c>
      <c r="G195" t="n">
        <v>2.4</v>
      </c>
      <c r="H195" t="n">
        <v>0</v>
      </c>
      <c r="I195" t="n">
        <v>0</v>
      </c>
      <c r="J195" t="n">
        <v>0</v>
      </c>
      <c r="K195" t="n">
        <v>0</v>
      </c>
      <c r="L195" t="n">
        <v>0</v>
      </c>
      <c r="M195" t="n">
        <v>0</v>
      </c>
      <c r="N195" t="n">
        <v>0</v>
      </c>
      <c r="O195" t="n">
        <v>0</v>
      </c>
      <c r="P195" t="n">
        <v>0</v>
      </c>
      <c r="Q195" t="n">
        <v>0</v>
      </c>
      <c r="R195" s="2" t="inlineStr"/>
    </row>
    <row r="196" ht="15" customHeight="1">
      <c r="A196" t="inlineStr">
        <is>
          <t>A 54191-2022</t>
        </is>
      </c>
      <c r="B196" s="1" t="n">
        <v>44881</v>
      </c>
      <c r="C196" s="1" t="n">
        <v>45567</v>
      </c>
      <c r="D196" t="inlineStr">
        <is>
          <t>GÄVLEBORGS LÄN</t>
        </is>
      </c>
      <c r="E196" t="inlineStr">
        <is>
          <t>HOFORS</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54616-2022</t>
        </is>
      </c>
      <c r="B197" s="1" t="n">
        <v>44883</v>
      </c>
      <c r="C197" s="1" t="n">
        <v>45567</v>
      </c>
      <c r="D197" t="inlineStr">
        <is>
          <t>GÄVLEBORGS LÄN</t>
        </is>
      </c>
      <c r="E197" t="inlineStr">
        <is>
          <t>HOFORS</t>
        </is>
      </c>
      <c r="F197" t="inlineStr">
        <is>
          <t>Kyrkan</t>
        </is>
      </c>
      <c r="G197" t="n">
        <v>4.8</v>
      </c>
      <c r="H197" t="n">
        <v>0</v>
      </c>
      <c r="I197" t="n">
        <v>0</v>
      </c>
      <c r="J197" t="n">
        <v>0</v>
      </c>
      <c r="K197" t="n">
        <v>0</v>
      </c>
      <c r="L197" t="n">
        <v>0</v>
      </c>
      <c r="M197" t="n">
        <v>0</v>
      </c>
      <c r="N197" t="n">
        <v>0</v>
      </c>
      <c r="O197" t="n">
        <v>0</v>
      </c>
      <c r="P197" t="n">
        <v>0</v>
      </c>
      <c r="Q197" t="n">
        <v>0</v>
      </c>
      <c r="R197" s="2" t="inlineStr"/>
    </row>
    <row r="198" ht="15" customHeight="1">
      <c r="A198" t="inlineStr">
        <is>
          <t>A 57971-2022</t>
        </is>
      </c>
      <c r="B198" s="1" t="n">
        <v>44900</v>
      </c>
      <c r="C198" s="1" t="n">
        <v>45567</v>
      </c>
      <c r="D198" t="inlineStr">
        <is>
          <t>GÄVLEBORGS LÄN</t>
        </is>
      </c>
      <c r="E198" t="inlineStr">
        <is>
          <t>HOFORS</t>
        </is>
      </c>
      <c r="F198" t="inlineStr">
        <is>
          <t>Sveaskog</t>
        </is>
      </c>
      <c r="G198" t="n">
        <v>3.6</v>
      </c>
      <c r="H198" t="n">
        <v>0</v>
      </c>
      <c r="I198" t="n">
        <v>0</v>
      </c>
      <c r="J198" t="n">
        <v>0</v>
      </c>
      <c r="K198" t="n">
        <v>0</v>
      </c>
      <c r="L198" t="n">
        <v>0</v>
      </c>
      <c r="M198" t="n">
        <v>0</v>
      </c>
      <c r="N198" t="n">
        <v>0</v>
      </c>
      <c r="O198" t="n">
        <v>0</v>
      </c>
      <c r="P198" t="n">
        <v>0</v>
      </c>
      <c r="Q198" t="n">
        <v>0</v>
      </c>
      <c r="R198" s="2" t="inlineStr"/>
    </row>
    <row r="199" ht="15" customHeight="1">
      <c r="A199" t="inlineStr">
        <is>
          <t>A 59567-2022</t>
        </is>
      </c>
      <c r="B199" s="1" t="n">
        <v>44907</v>
      </c>
      <c r="C199" s="1" t="n">
        <v>45567</v>
      </c>
      <c r="D199" t="inlineStr">
        <is>
          <t>GÄVLEBORGS LÄN</t>
        </is>
      </c>
      <c r="E199" t="inlineStr">
        <is>
          <t>HOFORS</t>
        </is>
      </c>
      <c r="G199" t="n">
        <v>1.4</v>
      </c>
      <c r="H199" t="n">
        <v>0</v>
      </c>
      <c r="I199" t="n">
        <v>0</v>
      </c>
      <c r="J199" t="n">
        <v>0</v>
      </c>
      <c r="K199" t="n">
        <v>0</v>
      </c>
      <c r="L199" t="n">
        <v>0</v>
      </c>
      <c r="M199" t="n">
        <v>0</v>
      </c>
      <c r="N199" t="n">
        <v>0</v>
      </c>
      <c r="O199" t="n">
        <v>0</v>
      </c>
      <c r="P199" t="n">
        <v>0</v>
      </c>
      <c r="Q199" t="n">
        <v>0</v>
      </c>
      <c r="R199" s="2" t="inlineStr"/>
    </row>
    <row r="200" ht="15" customHeight="1">
      <c r="A200" t="inlineStr">
        <is>
          <t>A 4451-2023</t>
        </is>
      </c>
      <c r="B200" s="1" t="n">
        <v>44956</v>
      </c>
      <c r="C200" s="1" t="n">
        <v>45567</v>
      </c>
      <c r="D200" t="inlineStr">
        <is>
          <t>GÄVLEBORGS LÄN</t>
        </is>
      </c>
      <c r="E200" t="inlineStr">
        <is>
          <t>HOFORS</t>
        </is>
      </c>
      <c r="G200" t="n">
        <v>5.1</v>
      </c>
      <c r="H200" t="n">
        <v>0</v>
      </c>
      <c r="I200" t="n">
        <v>0</v>
      </c>
      <c r="J200" t="n">
        <v>0</v>
      </c>
      <c r="K200" t="n">
        <v>0</v>
      </c>
      <c r="L200" t="n">
        <v>0</v>
      </c>
      <c r="M200" t="n">
        <v>0</v>
      </c>
      <c r="N200" t="n">
        <v>0</v>
      </c>
      <c r="O200" t="n">
        <v>0</v>
      </c>
      <c r="P200" t="n">
        <v>0</v>
      </c>
      <c r="Q200" t="n">
        <v>0</v>
      </c>
      <c r="R200" s="2" t="inlineStr"/>
    </row>
    <row r="201" ht="15" customHeight="1">
      <c r="A201" t="inlineStr">
        <is>
          <t>A 6929-2023</t>
        </is>
      </c>
      <c r="B201" s="1" t="n">
        <v>44967</v>
      </c>
      <c r="C201" s="1" t="n">
        <v>45567</v>
      </c>
      <c r="D201" t="inlineStr">
        <is>
          <t>GÄVLEBORGS LÄN</t>
        </is>
      </c>
      <c r="E201" t="inlineStr">
        <is>
          <t>HOFORS</t>
        </is>
      </c>
      <c r="G201" t="n">
        <v>0.9</v>
      </c>
      <c r="H201" t="n">
        <v>0</v>
      </c>
      <c r="I201" t="n">
        <v>0</v>
      </c>
      <c r="J201" t="n">
        <v>0</v>
      </c>
      <c r="K201" t="n">
        <v>0</v>
      </c>
      <c r="L201" t="n">
        <v>0</v>
      </c>
      <c r="M201" t="n">
        <v>0</v>
      </c>
      <c r="N201" t="n">
        <v>0</v>
      </c>
      <c r="O201" t="n">
        <v>0</v>
      </c>
      <c r="P201" t="n">
        <v>0</v>
      </c>
      <c r="Q201" t="n">
        <v>0</v>
      </c>
      <c r="R201" s="2" t="inlineStr"/>
    </row>
    <row r="202" ht="15" customHeight="1">
      <c r="A202" t="inlineStr">
        <is>
          <t>A 8510-2023</t>
        </is>
      </c>
      <c r="B202" s="1" t="n">
        <v>44977</v>
      </c>
      <c r="C202" s="1" t="n">
        <v>45567</v>
      </c>
      <c r="D202" t="inlineStr">
        <is>
          <t>GÄVLEBORGS LÄN</t>
        </is>
      </c>
      <c r="E202" t="inlineStr">
        <is>
          <t>HOFORS</t>
        </is>
      </c>
      <c r="G202" t="n">
        <v>0.4</v>
      </c>
      <c r="H202" t="n">
        <v>0</v>
      </c>
      <c r="I202" t="n">
        <v>0</v>
      </c>
      <c r="J202" t="n">
        <v>0</v>
      </c>
      <c r="K202" t="n">
        <v>0</v>
      </c>
      <c r="L202" t="n">
        <v>0</v>
      </c>
      <c r="M202" t="n">
        <v>0</v>
      </c>
      <c r="N202" t="n">
        <v>0</v>
      </c>
      <c r="O202" t="n">
        <v>0</v>
      </c>
      <c r="P202" t="n">
        <v>0</v>
      </c>
      <c r="Q202" t="n">
        <v>0</v>
      </c>
      <c r="R202" s="2" t="inlineStr"/>
    </row>
    <row r="203" ht="15" customHeight="1">
      <c r="A203" t="inlineStr">
        <is>
          <t>A 10161-2023</t>
        </is>
      </c>
      <c r="B203" s="1" t="n">
        <v>44986</v>
      </c>
      <c r="C203" s="1" t="n">
        <v>45567</v>
      </c>
      <c r="D203" t="inlineStr">
        <is>
          <t>GÄVLEBORGS LÄN</t>
        </is>
      </c>
      <c r="E203" t="inlineStr">
        <is>
          <t>HOFORS</t>
        </is>
      </c>
      <c r="F203" t="inlineStr">
        <is>
          <t>Övriga statliga verk och myndigheter</t>
        </is>
      </c>
      <c r="G203" t="n">
        <v>0.6</v>
      </c>
      <c r="H203" t="n">
        <v>0</v>
      </c>
      <c r="I203" t="n">
        <v>0</v>
      </c>
      <c r="J203" t="n">
        <v>0</v>
      </c>
      <c r="K203" t="n">
        <v>0</v>
      </c>
      <c r="L203" t="n">
        <v>0</v>
      </c>
      <c r="M203" t="n">
        <v>0</v>
      </c>
      <c r="N203" t="n">
        <v>0</v>
      </c>
      <c r="O203" t="n">
        <v>0</v>
      </c>
      <c r="P203" t="n">
        <v>0</v>
      </c>
      <c r="Q203" t="n">
        <v>0</v>
      </c>
      <c r="R203" s="2" t="inlineStr"/>
    </row>
    <row r="204" ht="15" customHeight="1">
      <c r="A204" t="inlineStr">
        <is>
          <t>A 11607-2023</t>
        </is>
      </c>
      <c r="B204" s="1" t="n">
        <v>44994</v>
      </c>
      <c r="C204" s="1" t="n">
        <v>45567</v>
      </c>
      <c r="D204" t="inlineStr">
        <is>
          <t>GÄVLEBORGS LÄN</t>
        </is>
      </c>
      <c r="E204" t="inlineStr">
        <is>
          <t>HOFORS</t>
        </is>
      </c>
      <c r="F204" t="inlineStr">
        <is>
          <t>Övriga statliga verk och myndigheter</t>
        </is>
      </c>
      <c r="G204" t="n">
        <v>1.1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45567</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45567</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45567</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45567</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45567</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45567</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45567</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45567</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45567</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45567</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45567</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45567</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45567</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45567</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45567</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45567</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45567</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45567</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45567</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45567</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45567</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45567</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45567</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45567</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45567</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45567</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45567</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45567</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45567</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45567</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45567</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45567</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45567</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45567</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45567</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45567</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45567</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45567</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45567</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45567</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45567</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45567</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45567</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45567</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45567</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45567</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45567</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45567</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45567</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45567</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45567</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45567</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45567</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45567</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45567</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45567</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45567</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45567</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45567</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45567</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45567</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45567</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45567</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45567</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45567</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45567</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45567</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45567</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45567</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45567</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45567</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59882-2023</t>
        </is>
      </c>
      <c r="B276" s="1" t="n">
        <v>45257</v>
      </c>
      <c r="C276" s="1" t="n">
        <v>45567</v>
      </c>
      <c r="D276" t="inlineStr">
        <is>
          <t>GÄVLEBORGS LÄN</t>
        </is>
      </c>
      <c r="E276" t="inlineStr">
        <is>
          <t>HOFORS</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59886-2023</t>
        </is>
      </c>
      <c r="B277" s="1" t="n">
        <v>45257</v>
      </c>
      <c r="C277" s="1" t="n">
        <v>45567</v>
      </c>
      <c r="D277" t="inlineStr">
        <is>
          <t>GÄVLEBORGS LÄN</t>
        </is>
      </c>
      <c r="E277" t="inlineStr">
        <is>
          <t>HOFORS</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60610-2023</t>
        </is>
      </c>
      <c r="B278" s="1" t="n">
        <v>45260</v>
      </c>
      <c r="C278" s="1" t="n">
        <v>45567</v>
      </c>
      <c r="D278" t="inlineStr">
        <is>
          <t>GÄVLEBORGS LÄN</t>
        </is>
      </c>
      <c r="E278" t="inlineStr">
        <is>
          <t>HOFORS</t>
        </is>
      </c>
      <c r="G278" t="n">
        <v>3.3</v>
      </c>
      <c r="H278" t="n">
        <v>0</v>
      </c>
      <c r="I278" t="n">
        <v>0</v>
      </c>
      <c r="J278" t="n">
        <v>0</v>
      </c>
      <c r="K278" t="n">
        <v>0</v>
      </c>
      <c r="L278" t="n">
        <v>0</v>
      </c>
      <c r="M278" t="n">
        <v>0</v>
      </c>
      <c r="N278" t="n">
        <v>0</v>
      </c>
      <c r="O278" t="n">
        <v>0</v>
      </c>
      <c r="P278" t="n">
        <v>0</v>
      </c>
      <c r="Q278" t="n">
        <v>0</v>
      </c>
      <c r="R278" s="2" t="inlineStr"/>
    </row>
    <row r="279" ht="15" customHeight="1">
      <c r="A279" t="inlineStr">
        <is>
          <t>A 60705-2023</t>
        </is>
      </c>
      <c r="B279" s="1" t="n">
        <v>45260</v>
      </c>
      <c r="C279" s="1" t="n">
        <v>45567</v>
      </c>
      <c r="D279" t="inlineStr">
        <is>
          <t>GÄVLEBORGS LÄN</t>
        </is>
      </c>
      <c r="E279" t="inlineStr">
        <is>
          <t>HOFORS</t>
        </is>
      </c>
      <c r="G279" t="n">
        <v>3.1</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45567</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45567</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45567</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45567</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45567</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45567</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118-2024</t>
        </is>
      </c>
      <c r="B286" s="1" t="n">
        <v>45294</v>
      </c>
      <c r="C286" s="1" t="n">
        <v>45567</v>
      </c>
      <c r="D286" t="inlineStr">
        <is>
          <t>GÄVLEBORGS LÄN</t>
        </is>
      </c>
      <c r="E286" t="inlineStr">
        <is>
          <t>HOFORS</t>
        </is>
      </c>
      <c r="F286" t="inlineStr">
        <is>
          <t>Sveaskog</t>
        </is>
      </c>
      <c r="G286" t="n">
        <v>6.9</v>
      </c>
      <c r="H286" t="n">
        <v>0</v>
      </c>
      <c r="I286" t="n">
        <v>0</v>
      </c>
      <c r="J286" t="n">
        <v>0</v>
      </c>
      <c r="K286" t="n">
        <v>0</v>
      </c>
      <c r="L286" t="n">
        <v>0</v>
      </c>
      <c r="M286" t="n">
        <v>0</v>
      </c>
      <c r="N286" t="n">
        <v>0</v>
      </c>
      <c r="O286" t="n">
        <v>0</v>
      </c>
      <c r="P286" t="n">
        <v>0</v>
      </c>
      <c r="Q286" t="n">
        <v>0</v>
      </c>
      <c r="R286" s="2" t="inlineStr"/>
    </row>
    <row r="287" ht="15" customHeight="1">
      <c r="A287" t="inlineStr">
        <is>
          <t>A 127-2024</t>
        </is>
      </c>
      <c r="B287" s="1" t="n">
        <v>45294</v>
      </c>
      <c r="C287" s="1" t="n">
        <v>45567</v>
      </c>
      <c r="D287" t="inlineStr">
        <is>
          <t>GÄVLEBORGS LÄN</t>
        </is>
      </c>
      <c r="E287" t="inlineStr">
        <is>
          <t>HOFORS</t>
        </is>
      </c>
      <c r="F287" t="inlineStr">
        <is>
          <t>Sveaskog</t>
        </is>
      </c>
      <c r="G287" t="n">
        <v>20.4</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45567</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45567</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45567</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45567</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45567</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45567</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45567</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45567</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45567</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45567</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7563-2024</t>
        </is>
      </c>
      <c r="B298" s="1" t="n">
        <v>45348</v>
      </c>
      <c r="C298" s="1" t="n">
        <v>45567</v>
      </c>
      <c r="D298" t="inlineStr">
        <is>
          <t>GÄVLEBORGS LÄN</t>
        </is>
      </c>
      <c r="E298" t="inlineStr">
        <is>
          <t>HOFORS</t>
        </is>
      </c>
      <c r="G298" t="n">
        <v>10.8</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45567</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ht="15" customHeight="1">
      <c r="A300" t="inlineStr">
        <is>
          <t>A 11818-2024</t>
        </is>
      </c>
      <c r="B300" s="1" t="n">
        <v>45376</v>
      </c>
      <c r="C300" s="1" t="n">
        <v>45567</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row r="301" ht="15" customHeight="1">
      <c r="A301" t="inlineStr">
        <is>
          <t>A 11813-2024</t>
        </is>
      </c>
      <c r="B301" s="1" t="n">
        <v>45376</v>
      </c>
      <c r="C301" s="1" t="n">
        <v>45567</v>
      </c>
      <c r="D301" t="inlineStr">
        <is>
          <t>GÄVLEBORGS LÄN</t>
        </is>
      </c>
      <c r="E301" t="inlineStr">
        <is>
          <t>HOFORS</t>
        </is>
      </c>
      <c r="G301" t="n">
        <v>2.3</v>
      </c>
      <c r="H301" t="n">
        <v>0</v>
      </c>
      <c r="I301" t="n">
        <v>0</v>
      </c>
      <c r="J301" t="n">
        <v>0</v>
      </c>
      <c r="K301" t="n">
        <v>0</v>
      </c>
      <c r="L301" t="n">
        <v>0</v>
      </c>
      <c r="M301" t="n">
        <v>0</v>
      </c>
      <c r="N301" t="n">
        <v>0</v>
      </c>
      <c r="O301" t="n">
        <v>0</v>
      </c>
      <c r="P301" t="n">
        <v>0</v>
      </c>
      <c r="Q301" t="n">
        <v>0</v>
      </c>
      <c r="R301" s="2" t="inlineStr"/>
    </row>
    <row r="302" ht="15" customHeight="1">
      <c r="A302" t="inlineStr">
        <is>
          <t>A 13473-2024</t>
        </is>
      </c>
      <c r="B302" s="1" t="n">
        <v>45387</v>
      </c>
      <c r="C302" s="1" t="n">
        <v>45567</v>
      </c>
      <c r="D302" t="inlineStr">
        <is>
          <t>GÄVLEBORGS LÄN</t>
        </is>
      </c>
      <c r="E302" t="inlineStr">
        <is>
          <t>HOFORS</t>
        </is>
      </c>
      <c r="G302" t="n">
        <v>1.8</v>
      </c>
      <c r="H302" t="n">
        <v>0</v>
      </c>
      <c r="I302" t="n">
        <v>0</v>
      </c>
      <c r="J302" t="n">
        <v>0</v>
      </c>
      <c r="K302" t="n">
        <v>0</v>
      </c>
      <c r="L302" t="n">
        <v>0</v>
      </c>
      <c r="M302" t="n">
        <v>0</v>
      </c>
      <c r="N302" t="n">
        <v>0</v>
      </c>
      <c r="O302" t="n">
        <v>0</v>
      </c>
      <c r="P302" t="n">
        <v>0</v>
      </c>
      <c r="Q302" t="n">
        <v>0</v>
      </c>
      <c r="R302" s="2" t="inlineStr"/>
    </row>
    <row r="303" ht="15" customHeight="1">
      <c r="A303" t="inlineStr">
        <is>
          <t>A 13471-2024</t>
        </is>
      </c>
      <c r="B303" s="1" t="n">
        <v>45387</v>
      </c>
      <c r="C303" s="1" t="n">
        <v>45567</v>
      </c>
      <c r="D303" t="inlineStr">
        <is>
          <t>GÄVLEBORGS LÄN</t>
        </is>
      </c>
      <c r="E303" t="inlineStr">
        <is>
          <t>HOFORS</t>
        </is>
      </c>
      <c r="G303" t="n">
        <v>2.9</v>
      </c>
      <c r="H303" t="n">
        <v>0</v>
      </c>
      <c r="I303" t="n">
        <v>0</v>
      </c>
      <c r="J303" t="n">
        <v>0</v>
      </c>
      <c r="K303" t="n">
        <v>0</v>
      </c>
      <c r="L303" t="n">
        <v>0</v>
      </c>
      <c r="M303" t="n">
        <v>0</v>
      </c>
      <c r="N303" t="n">
        <v>0</v>
      </c>
      <c r="O303" t="n">
        <v>0</v>
      </c>
      <c r="P303" t="n">
        <v>0</v>
      </c>
      <c r="Q303" t="n">
        <v>0</v>
      </c>
      <c r="R303" s="2" t="inlineStr"/>
    </row>
    <row r="304" ht="15" customHeight="1">
      <c r="A304" t="inlineStr">
        <is>
          <t>A 15484-2024</t>
        </is>
      </c>
      <c r="B304" s="1" t="n">
        <v>45401</v>
      </c>
      <c r="C304" s="1" t="n">
        <v>45567</v>
      </c>
      <c r="D304" t="inlineStr">
        <is>
          <t>GÄVLEBORGS LÄN</t>
        </is>
      </c>
      <c r="E304" t="inlineStr">
        <is>
          <t>HOFORS</t>
        </is>
      </c>
      <c r="F304" t="inlineStr">
        <is>
          <t>Sveaskog</t>
        </is>
      </c>
      <c r="G304" t="n">
        <v>11.6</v>
      </c>
      <c r="H304" t="n">
        <v>0</v>
      </c>
      <c r="I304" t="n">
        <v>0</v>
      </c>
      <c r="J304" t="n">
        <v>0</v>
      </c>
      <c r="K304" t="n">
        <v>0</v>
      </c>
      <c r="L304" t="n">
        <v>0</v>
      </c>
      <c r="M304" t="n">
        <v>0</v>
      </c>
      <c r="N304" t="n">
        <v>0</v>
      </c>
      <c r="O304" t="n">
        <v>0</v>
      </c>
      <c r="P304" t="n">
        <v>0</v>
      </c>
      <c r="Q304" t="n">
        <v>0</v>
      </c>
      <c r="R304" s="2" t="inlineStr"/>
    </row>
    <row r="305" ht="15" customHeight="1">
      <c r="A305" t="inlineStr">
        <is>
          <t>A 16137-2024</t>
        </is>
      </c>
      <c r="B305" s="1" t="n">
        <v>45406</v>
      </c>
      <c r="C305" s="1" t="n">
        <v>45567</v>
      </c>
      <c r="D305" t="inlineStr">
        <is>
          <t>GÄVLEBORGS LÄN</t>
        </is>
      </c>
      <c r="E305" t="inlineStr">
        <is>
          <t>HOFORS</t>
        </is>
      </c>
      <c r="G305" t="n">
        <v>6</v>
      </c>
      <c r="H305" t="n">
        <v>0</v>
      </c>
      <c r="I305" t="n">
        <v>0</v>
      </c>
      <c r="J305" t="n">
        <v>0</v>
      </c>
      <c r="K305" t="n">
        <v>0</v>
      </c>
      <c r="L305" t="n">
        <v>0</v>
      </c>
      <c r="M305" t="n">
        <v>0</v>
      </c>
      <c r="N305" t="n">
        <v>0</v>
      </c>
      <c r="O305" t="n">
        <v>0</v>
      </c>
      <c r="P305" t="n">
        <v>0</v>
      </c>
      <c r="Q305" t="n">
        <v>0</v>
      </c>
      <c r="R305" s="2" t="inlineStr"/>
    </row>
    <row r="306" ht="15" customHeight="1">
      <c r="A306" t="inlineStr">
        <is>
          <t>A 16135-2024</t>
        </is>
      </c>
      <c r="B306" s="1" t="n">
        <v>45406</v>
      </c>
      <c r="C306" s="1" t="n">
        <v>45567</v>
      </c>
      <c r="D306" t="inlineStr">
        <is>
          <t>GÄVLEBORGS LÄN</t>
        </is>
      </c>
      <c r="E306" t="inlineStr">
        <is>
          <t>HOFORS</t>
        </is>
      </c>
      <c r="G306" t="n">
        <v>2.4</v>
      </c>
      <c r="H306" t="n">
        <v>0</v>
      </c>
      <c r="I306" t="n">
        <v>0</v>
      </c>
      <c r="J306" t="n">
        <v>0</v>
      </c>
      <c r="K306" t="n">
        <v>0</v>
      </c>
      <c r="L306" t="n">
        <v>0</v>
      </c>
      <c r="M306" t="n">
        <v>0</v>
      </c>
      <c r="N306" t="n">
        <v>0</v>
      </c>
      <c r="O306" t="n">
        <v>0</v>
      </c>
      <c r="P306" t="n">
        <v>0</v>
      </c>
      <c r="Q306" t="n">
        <v>0</v>
      </c>
      <c r="R306" s="2" t="inlineStr"/>
    </row>
    <row r="307" ht="15" customHeight="1">
      <c r="A307" t="inlineStr">
        <is>
          <t>A 16147-2024</t>
        </is>
      </c>
      <c r="B307" s="1" t="n">
        <v>45406</v>
      </c>
      <c r="C307" s="1" t="n">
        <v>45567</v>
      </c>
      <c r="D307" t="inlineStr">
        <is>
          <t>GÄVLEBORGS LÄN</t>
        </is>
      </c>
      <c r="E307" t="inlineStr">
        <is>
          <t>HOFORS</t>
        </is>
      </c>
      <c r="G307" t="n">
        <v>1.4</v>
      </c>
      <c r="H307" t="n">
        <v>0</v>
      </c>
      <c r="I307" t="n">
        <v>0</v>
      </c>
      <c r="J307" t="n">
        <v>0</v>
      </c>
      <c r="K307" t="n">
        <v>0</v>
      </c>
      <c r="L307" t="n">
        <v>0</v>
      </c>
      <c r="M307" t="n">
        <v>0</v>
      </c>
      <c r="N307" t="n">
        <v>0</v>
      </c>
      <c r="O307" t="n">
        <v>0</v>
      </c>
      <c r="P307" t="n">
        <v>0</v>
      </c>
      <c r="Q307" t="n">
        <v>0</v>
      </c>
      <c r="R307" s="2" t="inlineStr"/>
    </row>
    <row r="308" ht="15" customHeight="1">
      <c r="A308" t="inlineStr">
        <is>
          <t>A 18709-2024</t>
        </is>
      </c>
      <c r="B308" s="1" t="n">
        <v>45426</v>
      </c>
      <c r="C308" s="1" t="n">
        <v>45567</v>
      </c>
      <c r="D308" t="inlineStr">
        <is>
          <t>GÄVLEBORGS LÄN</t>
        </is>
      </c>
      <c r="E308" t="inlineStr">
        <is>
          <t>HOFORS</t>
        </is>
      </c>
      <c r="G308" t="n">
        <v>2.2</v>
      </c>
      <c r="H308" t="n">
        <v>0</v>
      </c>
      <c r="I308" t="n">
        <v>0</v>
      </c>
      <c r="J308" t="n">
        <v>0</v>
      </c>
      <c r="K308" t="n">
        <v>0</v>
      </c>
      <c r="L308" t="n">
        <v>0</v>
      </c>
      <c r="M308" t="n">
        <v>0</v>
      </c>
      <c r="N308" t="n">
        <v>0</v>
      </c>
      <c r="O308" t="n">
        <v>0</v>
      </c>
      <c r="P308" t="n">
        <v>0</v>
      </c>
      <c r="Q308" t="n">
        <v>0</v>
      </c>
      <c r="R308" s="2" t="inlineStr"/>
    </row>
    <row r="309" ht="15" customHeight="1">
      <c r="A309" t="inlineStr">
        <is>
          <t>A 18963-2024</t>
        </is>
      </c>
      <c r="B309" s="1" t="n">
        <v>45427</v>
      </c>
      <c r="C309" s="1" t="n">
        <v>45567</v>
      </c>
      <c r="D309" t="inlineStr">
        <is>
          <t>GÄVLEBORGS LÄN</t>
        </is>
      </c>
      <c r="E309" t="inlineStr">
        <is>
          <t>HOFORS</t>
        </is>
      </c>
      <c r="G309" t="n">
        <v>1.6</v>
      </c>
      <c r="H309" t="n">
        <v>0</v>
      </c>
      <c r="I309" t="n">
        <v>0</v>
      </c>
      <c r="J309" t="n">
        <v>0</v>
      </c>
      <c r="K309" t="n">
        <v>0</v>
      </c>
      <c r="L309" t="n">
        <v>0</v>
      </c>
      <c r="M309" t="n">
        <v>0</v>
      </c>
      <c r="N309" t="n">
        <v>0</v>
      </c>
      <c r="O309" t="n">
        <v>0</v>
      </c>
      <c r="P309" t="n">
        <v>0</v>
      </c>
      <c r="Q309" t="n">
        <v>0</v>
      </c>
      <c r="R309" s="2" t="inlineStr"/>
    </row>
    <row r="310" ht="15" customHeight="1">
      <c r="A310" t="inlineStr">
        <is>
          <t>A 20191-2024</t>
        </is>
      </c>
      <c r="B310" s="1" t="n">
        <v>45434</v>
      </c>
      <c r="C310" s="1" t="n">
        <v>45567</v>
      </c>
      <c r="D310" t="inlineStr">
        <is>
          <t>GÄVLEBORGS LÄN</t>
        </is>
      </c>
      <c r="E310" t="inlineStr">
        <is>
          <t>HOFORS</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21019-2024</t>
        </is>
      </c>
      <c r="B311" s="1" t="n">
        <v>45439</v>
      </c>
      <c r="C311" s="1" t="n">
        <v>45567</v>
      </c>
      <c r="D311" t="inlineStr">
        <is>
          <t>GÄVLEBORGS LÄN</t>
        </is>
      </c>
      <c r="E311" t="inlineStr">
        <is>
          <t>HOFORS</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21027-2024</t>
        </is>
      </c>
      <c r="B312" s="1" t="n">
        <v>45439</v>
      </c>
      <c r="C312" s="1" t="n">
        <v>45567</v>
      </c>
      <c r="D312" t="inlineStr">
        <is>
          <t>GÄVLEBORGS LÄN</t>
        </is>
      </c>
      <c r="E312" t="inlineStr">
        <is>
          <t>HOFORS</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21039-2024</t>
        </is>
      </c>
      <c r="B313" s="1" t="n">
        <v>45439</v>
      </c>
      <c r="C313" s="1" t="n">
        <v>45567</v>
      </c>
      <c r="D313" t="inlineStr">
        <is>
          <t>GÄVLEBORGS LÄN</t>
        </is>
      </c>
      <c r="E313" t="inlineStr">
        <is>
          <t>HOFORS</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21028-2024</t>
        </is>
      </c>
      <c r="B314" s="1" t="n">
        <v>45439</v>
      </c>
      <c r="C314" s="1" t="n">
        <v>45567</v>
      </c>
      <c r="D314" t="inlineStr">
        <is>
          <t>GÄVLEBORGS LÄN</t>
        </is>
      </c>
      <c r="E314" t="inlineStr">
        <is>
          <t>HOFORS</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21254-2024</t>
        </is>
      </c>
      <c r="B315" s="1" t="n">
        <v>45440</v>
      </c>
      <c r="C315" s="1" t="n">
        <v>45567</v>
      </c>
      <c r="D315" t="inlineStr">
        <is>
          <t>GÄVLEBORGS LÄN</t>
        </is>
      </c>
      <c r="E315" t="inlineStr">
        <is>
          <t>HOFORS</t>
        </is>
      </c>
      <c r="G315" t="n">
        <v>4.3</v>
      </c>
      <c r="H315" t="n">
        <v>0</v>
      </c>
      <c r="I315" t="n">
        <v>0</v>
      </c>
      <c r="J315" t="n">
        <v>0</v>
      </c>
      <c r="K315" t="n">
        <v>0</v>
      </c>
      <c r="L315" t="n">
        <v>0</v>
      </c>
      <c r="M315" t="n">
        <v>0</v>
      </c>
      <c r="N315" t="n">
        <v>0</v>
      </c>
      <c r="O315" t="n">
        <v>0</v>
      </c>
      <c r="P315" t="n">
        <v>0</v>
      </c>
      <c r="Q315" t="n">
        <v>0</v>
      </c>
      <c r="R315" s="2" t="inlineStr"/>
    </row>
    <row r="316" ht="15" customHeight="1">
      <c r="A316" t="inlineStr">
        <is>
          <t>A 21750-2024</t>
        </is>
      </c>
      <c r="B316" s="1" t="n">
        <v>45442</v>
      </c>
      <c r="C316" s="1" t="n">
        <v>45567</v>
      </c>
      <c r="D316" t="inlineStr">
        <is>
          <t>GÄVLEBORGS LÄN</t>
        </is>
      </c>
      <c r="E316" t="inlineStr">
        <is>
          <t>HOFORS</t>
        </is>
      </c>
      <c r="G316" t="n">
        <v>3.7</v>
      </c>
      <c r="H316" t="n">
        <v>0</v>
      </c>
      <c r="I316" t="n">
        <v>0</v>
      </c>
      <c r="J316" t="n">
        <v>0</v>
      </c>
      <c r="K316" t="n">
        <v>0</v>
      </c>
      <c r="L316" t="n">
        <v>0</v>
      </c>
      <c r="M316" t="n">
        <v>0</v>
      </c>
      <c r="N316" t="n">
        <v>0</v>
      </c>
      <c r="O316" t="n">
        <v>0</v>
      </c>
      <c r="P316" t="n">
        <v>0</v>
      </c>
      <c r="Q316" t="n">
        <v>0</v>
      </c>
      <c r="R316" s="2" t="inlineStr"/>
    </row>
    <row r="317" ht="15" customHeight="1">
      <c r="A317" t="inlineStr">
        <is>
          <t>A 21751-2024</t>
        </is>
      </c>
      <c r="B317" s="1" t="n">
        <v>45442</v>
      </c>
      <c r="C317" s="1" t="n">
        <v>45567</v>
      </c>
      <c r="D317" t="inlineStr">
        <is>
          <t>GÄVLEBORGS LÄN</t>
        </is>
      </c>
      <c r="E317" t="inlineStr">
        <is>
          <t>HOFORS</t>
        </is>
      </c>
      <c r="G317" t="n">
        <v>4.1</v>
      </c>
      <c r="H317" t="n">
        <v>0</v>
      </c>
      <c r="I317" t="n">
        <v>0</v>
      </c>
      <c r="J317" t="n">
        <v>0</v>
      </c>
      <c r="K317" t="n">
        <v>0</v>
      </c>
      <c r="L317" t="n">
        <v>0</v>
      </c>
      <c r="M317" t="n">
        <v>0</v>
      </c>
      <c r="N317" t="n">
        <v>0</v>
      </c>
      <c r="O317" t="n">
        <v>0</v>
      </c>
      <c r="P317" t="n">
        <v>0</v>
      </c>
      <c r="Q317" t="n">
        <v>0</v>
      </c>
      <c r="R317" s="2" t="inlineStr"/>
    </row>
    <row r="318" ht="15" customHeight="1">
      <c r="A318" t="inlineStr">
        <is>
          <t>A 21958-2024</t>
        </is>
      </c>
      <c r="B318" s="1" t="n">
        <v>45443</v>
      </c>
      <c r="C318" s="1" t="n">
        <v>45567</v>
      </c>
      <c r="D318" t="inlineStr">
        <is>
          <t>GÄVLEBORGS LÄN</t>
        </is>
      </c>
      <c r="E318" t="inlineStr">
        <is>
          <t>HOFORS</t>
        </is>
      </c>
      <c r="G318" t="n">
        <v>6.1</v>
      </c>
      <c r="H318" t="n">
        <v>0</v>
      </c>
      <c r="I318" t="n">
        <v>0</v>
      </c>
      <c r="J318" t="n">
        <v>0</v>
      </c>
      <c r="K318" t="n">
        <v>0</v>
      </c>
      <c r="L318" t="n">
        <v>0</v>
      </c>
      <c r="M318" t="n">
        <v>0</v>
      </c>
      <c r="N318" t="n">
        <v>0</v>
      </c>
      <c r="O318" t="n">
        <v>0</v>
      </c>
      <c r="P318" t="n">
        <v>0</v>
      </c>
      <c r="Q318" t="n">
        <v>0</v>
      </c>
      <c r="R318" s="2" t="inlineStr"/>
    </row>
    <row r="319" ht="15" customHeight="1">
      <c r="A319" t="inlineStr">
        <is>
          <t>A 22226-2024</t>
        </is>
      </c>
      <c r="B319" s="1" t="n">
        <v>45446</v>
      </c>
      <c r="C319" s="1" t="n">
        <v>45567</v>
      </c>
      <c r="D319" t="inlineStr">
        <is>
          <t>GÄVLEBORGS LÄN</t>
        </is>
      </c>
      <c r="E319" t="inlineStr">
        <is>
          <t>HOFORS</t>
        </is>
      </c>
      <c r="G319" t="n">
        <v>0.6</v>
      </c>
      <c r="H319" t="n">
        <v>0</v>
      </c>
      <c r="I319" t="n">
        <v>0</v>
      </c>
      <c r="J319" t="n">
        <v>0</v>
      </c>
      <c r="K319" t="n">
        <v>0</v>
      </c>
      <c r="L319" t="n">
        <v>0</v>
      </c>
      <c r="M319" t="n">
        <v>0</v>
      </c>
      <c r="N319" t="n">
        <v>0</v>
      </c>
      <c r="O319" t="n">
        <v>0</v>
      </c>
      <c r="P319" t="n">
        <v>0</v>
      </c>
      <c r="Q319" t="n">
        <v>0</v>
      </c>
      <c r="R319" s="2" t="inlineStr"/>
    </row>
    <row r="320" ht="15" customHeight="1">
      <c r="A320" t="inlineStr">
        <is>
          <t>A 22530-2024</t>
        </is>
      </c>
      <c r="B320" s="1" t="n">
        <v>45447</v>
      </c>
      <c r="C320" s="1" t="n">
        <v>45567</v>
      </c>
      <c r="D320" t="inlineStr">
        <is>
          <t>GÄVLEBORGS LÄN</t>
        </is>
      </c>
      <c r="E320" t="inlineStr">
        <is>
          <t>HOFORS</t>
        </is>
      </c>
      <c r="G320" t="n">
        <v>1.3</v>
      </c>
      <c r="H320" t="n">
        <v>0</v>
      </c>
      <c r="I320" t="n">
        <v>0</v>
      </c>
      <c r="J320" t="n">
        <v>0</v>
      </c>
      <c r="K320" t="n">
        <v>0</v>
      </c>
      <c r="L320" t="n">
        <v>0</v>
      </c>
      <c r="M320" t="n">
        <v>0</v>
      </c>
      <c r="N320" t="n">
        <v>0</v>
      </c>
      <c r="O320" t="n">
        <v>0</v>
      </c>
      <c r="P320" t="n">
        <v>0</v>
      </c>
      <c r="Q320" t="n">
        <v>0</v>
      </c>
      <c r="R320" s="2" t="inlineStr"/>
    </row>
    <row r="321" ht="15" customHeight="1">
      <c r="A321" t="inlineStr">
        <is>
          <t>A 23376-2024</t>
        </is>
      </c>
      <c r="B321" s="1" t="n">
        <v>45453</v>
      </c>
      <c r="C321" s="1" t="n">
        <v>45567</v>
      </c>
      <c r="D321" t="inlineStr">
        <is>
          <t>GÄVLEBORGS LÄN</t>
        </is>
      </c>
      <c r="E321" t="inlineStr">
        <is>
          <t>HOFORS</t>
        </is>
      </c>
      <c r="F321" t="inlineStr">
        <is>
          <t>Sveaskog</t>
        </is>
      </c>
      <c r="G321" t="n">
        <v>10.8</v>
      </c>
      <c r="H321" t="n">
        <v>0</v>
      </c>
      <c r="I321" t="n">
        <v>0</v>
      </c>
      <c r="J321" t="n">
        <v>0</v>
      </c>
      <c r="K321" t="n">
        <v>0</v>
      </c>
      <c r="L321" t="n">
        <v>0</v>
      </c>
      <c r="M321" t="n">
        <v>0</v>
      </c>
      <c r="N321" t="n">
        <v>0</v>
      </c>
      <c r="O321" t="n">
        <v>0</v>
      </c>
      <c r="P321" t="n">
        <v>0</v>
      </c>
      <c r="Q321" t="n">
        <v>0</v>
      </c>
      <c r="R321" s="2" t="inlineStr"/>
    </row>
    <row r="322" ht="15" customHeight="1">
      <c r="A322" t="inlineStr">
        <is>
          <t>A 23355-2024</t>
        </is>
      </c>
      <c r="B322" s="1" t="n">
        <v>45453</v>
      </c>
      <c r="C322" s="1" t="n">
        <v>45567</v>
      </c>
      <c r="D322" t="inlineStr">
        <is>
          <t>GÄVLEBORGS LÄN</t>
        </is>
      </c>
      <c r="E322" t="inlineStr">
        <is>
          <t>HOFORS</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23891-2024</t>
        </is>
      </c>
      <c r="B323" s="1" t="n">
        <v>45455</v>
      </c>
      <c r="C323" s="1" t="n">
        <v>45567</v>
      </c>
      <c r="D323" t="inlineStr">
        <is>
          <t>GÄVLEBORGS LÄN</t>
        </is>
      </c>
      <c r="E323" t="inlineStr">
        <is>
          <t>HOFORS</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24008-2024</t>
        </is>
      </c>
      <c r="B324" s="1" t="n">
        <v>45456</v>
      </c>
      <c r="C324" s="1" t="n">
        <v>45567</v>
      </c>
      <c r="D324" t="inlineStr">
        <is>
          <t>GÄVLEBORGS LÄN</t>
        </is>
      </c>
      <c r="E324" t="inlineStr">
        <is>
          <t>HOFORS</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25476-2024</t>
        </is>
      </c>
      <c r="B325" s="1" t="n">
        <v>45463</v>
      </c>
      <c r="C325" s="1" t="n">
        <v>45567</v>
      </c>
      <c r="D325" t="inlineStr">
        <is>
          <t>GÄVLEBORGS LÄN</t>
        </is>
      </c>
      <c r="E325" t="inlineStr">
        <is>
          <t>HOFORS</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25474-2024</t>
        </is>
      </c>
      <c r="B326" s="1" t="n">
        <v>45463</v>
      </c>
      <c r="C326" s="1" t="n">
        <v>45567</v>
      </c>
      <c r="D326" t="inlineStr">
        <is>
          <t>GÄVLEBORGS LÄN</t>
        </is>
      </c>
      <c r="E326" t="inlineStr">
        <is>
          <t>HOFORS</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25477-2024</t>
        </is>
      </c>
      <c r="B327" s="1" t="n">
        <v>45463</v>
      </c>
      <c r="C327" s="1" t="n">
        <v>45567</v>
      </c>
      <c r="D327" t="inlineStr">
        <is>
          <t>GÄVLEBORGS LÄN</t>
        </is>
      </c>
      <c r="E327" t="inlineStr">
        <is>
          <t>HOFORS</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25465-2024</t>
        </is>
      </c>
      <c r="B328" s="1" t="n">
        <v>45463</v>
      </c>
      <c r="C328" s="1" t="n">
        <v>45567</v>
      </c>
      <c r="D328" t="inlineStr">
        <is>
          <t>GÄVLEBORGS LÄN</t>
        </is>
      </c>
      <c r="E328" t="inlineStr">
        <is>
          <t>HOFORS</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26306-2024</t>
        </is>
      </c>
      <c r="B329" s="1" t="n">
        <v>45469</v>
      </c>
      <c r="C329" s="1" t="n">
        <v>45567</v>
      </c>
      <c r="D329" t="inlineStr">
        <is>
          <t>GÄVLEBORGS LÄN</t>
        </is>
      </c>
      <c r="E329" t="inlineStr">
        <is>
          <t>HOFORS</t>
        </is>
      </c>
      <c r="G329" t="n">
        <v>3.8</v>
      </c>
      <c r="H329" t="n">
        <v>0</v>
      </c>
      <c r="I329" t="n">
        <v>0</v>
      </c>
      <c r="J329" t="n">
        <v>0</v>
      </c>
      <c r="K329" t="n">
        <v>0</v>
      </c>
      <c r="L329" t="n">
        <v>0</v>
      </c>
      <c r="M329" t="n">
        <v>0</v>
      </c>
      <c r="N329" t="n">
        <v>0</v>
      </c>
      <c r="O329" t="n">
        <v>0</v>
      </c>
      <c r="P329" t="n">
        <v>0</v>
      </c>
      <c r="Q329" t="n">
        <v>0</v>
      </c>
      <c r="R329" s="2" t="inlineStr"/>
    </row>
    <row r="330" ht="15" customHeight="1">
      <c r="A330" t="inlineStr">
        <is>
          <t>A 26307-2024</t>
        </is>
      </c>
      <c r="B330" s="1" t="n">
        <v>45469</v>
      </c>
      <c r="C330" s="1" t="n">
        <v>45567</v>
      </c>
      <c r="D330" t="inlineStr">
        <is>
          <t>GÄVLEBORGS LÄN</t>
        </is>
      </c>
      <c r="E330" t="inlineStr">
        <is>
          <t>HOFORS</t>
        </is>
      </c>
      <c r="G330" t="n">
        <v>4.2</v>
      </c>
      <c r="H330" t="n">
        <v>0</v>
      </c>
      <c r="I330" t="n">
        <v>0</v>
      </c>
      <c r="J330" t="n">
        <v>0</v>
      </c>
      <c r="K330" t="n">
        <v>0</v>
      </c>
      <c r="L330" t="n">
        <v>0</v>
      </c>
      <c r="M330" t="n">
        <v>0</v>
      </c>
      <c r="N330" t="n">
        <v>0</v>
      </c>
      <c r="O330" t="n">
        <v>0</v>
      </c>
      <c r="P330" t="n">
        <v>0</v>
      </c>
      <c r="Q330" t="n">
        <v>0</v>
      </c>
      <c r="R330" s="2" t="inlineStr"/>
    </row>
    <row r="331" ht="15" customHeight="1">
      <c r="A331" t="inlineStr">
        <is>
          <t>A 26308-2024</t>
        </is>
      </c>
      <c r="B331" s="1" t="n">
        <v>45469</v>
      </c>
      <c r="C331" s="1" t="n">
        <v>45567</v>
      </c>
      <c r="D331" t="inlineStr">
        <is>
          <t>GÄVLEBORGS LÄN</t>
        </is>
      </c>
      <c r="E331" t="inlineStr">
        <is>
          <t>HOFORS</t>
        </is>
      </c>
      <c r="G331" t="n">
        <v>5.3</v>
      </c>
      <c r="H331" t="n">
        <v>0</v>
      </c>
      <c r="I331" t="n">
        <v>0</v>
      </c>
      <c r="J331" t="n">
        <v>0</v>
      </c>
      <c r="K331" t="n">
        <v>0</v>
      </c>
      <c r="L331" t="n">
        <v>0</v>
      </c>
      <c r="M331" t="n">
        <v>0</v>
      </c>
      <c r="N331" t="n">
        <v>0</v>
      </c>
      <c r="O331" t="n">
        <v>0</v>
      </c>
      <c r="P331" t="n">
        <v>0</v>
      </c>
      <c r="Q331" t="n">
        <v>0</v>
      </c>
      <c r="R331" s="2" t="inlineStr"/>
    </row>
    <row r="332" ht="15" customHeight="1">
      <c r="A332" t="inlineStr">
        <is>
          <t>A 27731-2024</t>
        </is>
      </c>
      <c r="B332" s="1" t="n">
        <v>45475</v>
      </c>
      <c r="C332" s="1" t="n">
        <v>45567</v>
      </c>
      <c r="D332" t="inlineStr">
        <is>
          <t>GÄVLEBORGS LÄN</t>
        </is>
      </c>
      <c r="E332" t="inlineStr">
        <is>
          <t>HOFORS</t>
        </is>
      </c>
      <c r="F332" t="inlineStr">
        <is>
          <t>Bergvik skog öst AB</t>
        </is>
      </c>
      <c r="G332" t="n">
        <v>4.5</v>
      </c>
      <c r="H332" t="n">
        <v>0</v>
      </c>
      <c r="I332" t="n">
        <v>0</v>
      </c>
      <c r="J332" t="n">
        <v>0</v>
      </c>
      <c r="K332" t="n">
        <v>0</v>
      </c>
      <c r="L332" t="n">
        <v>0</v>
      </c>
      <c r="M332" t="n">
        <v>0</v>
      </c>
      <c r="N332" t="n">
        <v>0</v>
      </c>
      <c r="O332" t="n">
        <v>0</v>
      </c>
      <c r="P332" t="n">
        <v>0</v>
      </c>
      <c r="Q332" t="n">
        <v>0</v>
      </c>
      <c r="R332" s="2" t="inlineStr"/>
    </row>
    <row r="333" ht="15" customHeight="1">
      <c r="A333" t="inlineStr">
        <is>
          <t>A 27738-2024</t>
        </is>
      </c>
      <c r="B333" s="1" t="n">
        <v>45475</v>
      </c>
      <c r="C333" s="1" t="n">
        <v>45567</v>
      </c>
      <c r="D333" t="inlineStr">
        <is>
          <t>GÄVLEBORGS LÄN</t>
        </is>
      </c>
      <c r="E333" t="inlineStr">
        <is>
          <t>HOFORS</t>
        </is>
      </c>
      <c r="F333" t="inlineStr">
        <is>
          <t>Bergvik skog öst AB</t>
        </is>
      </c>
      <c r="G333" t="n">
        <v>2.6</v>
      </c>
      <c r="H333" t="n">
        <v>0</v>
      </c>
      <c r="I333" t="n">
        <v>0</v>
      </c>
      <c r="J333" t="n">
        <v>0</v>
      </c>
      <c r="K333" t="n">
        <v>0</v>
      </c>
      <c r="L333" t="n">
        <v>0</v>
      </c>
      <c r="M333" t="n">
        <v>0</v>
      </c>
      <c r="N333" t="n">
        <v>0</v>
      </c>
      <c r="O333" t="n">
        <v>0</v>
      </c>
      <c r="P333" t="n">
        <v>0</v>
      </c>
      <c r="Q333" t="n">
        <v>0</v>
      </c>
      <c r="R333" s="2" t="inlineStr"/>
    </row>
    <row r="334" ht="15" customHeight="1">
      <c r="A334" t="inlineStr">
        <is>
          <t>A 27734-2024</t>
        </is>
      </c>
      <c r="B334" s="1" t="n">
        <v>45475</v>
      </c>
      <c r="C334" s="1" t="n">
        <v>45567</v>
      </c>
      <c r="D334" t="inlineStr">
        <is>
          <t>GÄVLEBORGS LÄN</t>
        </is>
      </c>
      <c r="E334" t="inlineStr">
        <is>
          <t>HOFORS</t>
        </is>
      </c>
      <c r="F334" t="inlineStr">
        <is>
          <t>Bergvik skog öst AB</t>
        </is>
      </c>
      <c r="G334" t="n">
        <v>7.2</v>
      </c>
      <c r="H334" t="n">
        <v>0</v>
      </c>
      <c r="I334" t="n">
        <v>0</v>
      </c>
      <c r="J334" t="n">
        <v>0</v>
      </c>
      <c r="K334" t="n">
        <v>0</v>
      </c>
      <c r="L334" t="n">
        <v>0</v>
      </c>
      <c r="M334" t="n">
        <v>0</v>
      </c>
      <c r="N334" t="n">
        <v>0</v>
      </c>
      <c r="O334" t="n">
        <v>0</v>
      </c>
      <c r="P334" t="n">
        <v>0</v>
      </c>
      <c r="Q334" t="n">
        <v>0</v>
      </c>
      <c r="R334" s="2" t="inlineStr"/>
    </row>
    <row r="335" ht="15" customHeight="1">
      <c r="A335" t="inlineStr">
        <is>
          <t>A 27880-2024</t>
        </is>
      </c>
      <c r="B335" s="1" t="n">
        <v>45475</v>
      </c>
      <c r="C335" s="1" t="n">
        <v>45567</v>
      </c>
      <c r="D335" t="inlineStr">
        <is>
          <t>GÄVLEBORGS LÄN</t>
        </is>
      </c>
      <c r="E335" t="inlineStr">
        <is>
          <t>HOFORS</t>
        </is>
      </c>
      <c r="G335" t="n">
        <v>3.1</v>
      </c>
      <c r="H335" t="n">
        <v>0</v>
      </c>
      <c r="I335" t="n">
        <v>0</v>
      </c>
      <c r="J335" t="n">
        <v>0</v>
      </c>
      <c r="K335" t="n">
        <v>0</v>
      </c>
      <c r="L335" t="n">
        <v>0</v>
      </c>
      <c r="M335" t="n">
        <v>0</v>
      </c>
      <c r="N335" t="n">
        <v>0</v>
      </c>
      <c r="O335" t="n">
        <v>0</v>
      </c>
      <c r="P335" t="n">
        <v>0</v>
      </c>
      <c r="Q335" t="n">
        <v>0</v>
      </c>
      <c r="R335" s="2" t="inlineStr"/>
    </row>
    <row r="336" ht="15" customHeight="1">
      <c r="A336" t="inlineStr">
        <is>
          <t>A 28018-2024</t>
        </is>
      </c>
      <c r="B336" s="1" t="n">
        <v>45476</v>
      </c>
      <c r="C336" s="1" t="n">
        <v>45567</v>
      </c>
      <c r="D336" t="inlineStr">
        <is>
          <t>GÄVLEBORGS LÄN</t>
        </is>
      </c>
      <c r="E336" t="inlineStr">
        <is>
          <t>HOFORS</t>
        </is>
      </c>
      <c r="G336" t="n">
        <v>7.9</v>
      </c>
      <c r="H336" t="n">
        <v>0</v>
      </c>
      <c r="I336" t="n">
        <v>0</v>
      </c>
      <c r="J336" t="n">
        <v>0</v>
      </c>
      <c r="K336" t="n">
        <v>0</v>
      </c>
      <c r="L336" t="n">
        <v>0</v>
      </c>
      <c r="M336" t="n">
        <v>0</v>
      </c>
      <c r="N336" t="n">
        <v>0</v>
      </c>
      <c r="O336" t="n">
        <v>0</v>
      </c>
      <c r="P336" t="n">
        <v>0</v>
      </c>
      <c r="Q336" t="n">
        <v>0</v>
      </c>
      <c r="R336" s="2" t="inlineStr"/>
    </row>
    <row r="337" ht="15" customHeight="1">
      <c r="A337" t="inlineStr">
        <is>
          <t>A 28133-2024</t>
        </is>
      </c>
      <c r="B337" s="1" t="n">
        <v>45476</v>
      </c>
      <c r="C337" s="1" t="n">
        <v>45567</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28023-2024</t>
        </is>
      </c>
      <c r="B338" s="1" t="n">
        <v>45476</v>
      </c>
      <c r="C338" s="1" t="n">
        <v>45567</v>
      </c>
      <c r="D338" t="inlineStr">
        <is>
          <t>GÄVLEBORGS LÄN</t>
        </is>
      </c>
      <c r="E338" t="inlineStr">
        <is>
          <t>HOFORS</t>
        </is>
      </c>
      <c r="G338" t="n">
        <v>0.7</v>
      </c>
      <c r="H338" t="n">
        <v>0</v>
      </c>
      <c r="I338" t="n">
        <v>0</v>
      </c>
      <c r="J338" t="n">
        <v>0</v>
      </c>
      <c r="K338" t="n">
        <v>0</v>
      </c>
      <c r="L338" t="n">
        <v>0</v>
      </c>
      <c r="M338" t="n">
        <v>0</v>
      </c>
      <c r="N338" t="n">
        <v>0</v>
      </c>
      <c r="O338" t="n">
        <v>0</v>
      </c>
      <c r="P338" t="n">
        <v>0</v>
      </c>
      <c r="Q338" t="n">
        <v>0</v>
      </c>
      <c r="R338" s="2" t="inlineStr"/>
    </row>
    <row r="339" ht="15" customHeight="1">
      <c r="A339" t="inlineStr">
        <is>
          <t>A 28021-2024</t>
        </is>
      </c>
      <c r="B339" s="1" t="n">
        <v>45476</v>
      </c>
      <c r="C339" s="1" t="n">
        <v>45567</v>
      </c>
      <c r="D339" t="inlineStr">
        <is>
          <t>GÄVLEBORGS LÄN</t>
        </is>
      </c>
      <c r="E339" t="inlineStr">
        <is>
          <t>HOFORS</t>
        </is>
      </c>
      <c r="G339" t="n">
        <v>0.6</v>
      </c>
      <c r="H339" t="n">
        <v>0</v>
      </c>
      <c r="I339" t="n">
        <v>0</v>
      </c>
      <c r="J339" t="n">
        <v>0</v>
      </c>
      <c r="K339" t="n">
        <v>0</v>
      </c>
      <c r="L339" t="n">
        <v>0</v>
      </c>
      <c r="M339" t="n">
        <v>0</v>
      </c>
      <c r="N339" t="n">
        <v>0</v>
      </c>
      <c r="O339" t="n">
        <v>0</v>
      </c>
      <c r="P339" t="n">
        <v>0</v>
      </c>
      <c r="Q339" t="n">
        <v>0</v>
      </c>
      <c r="R339" s="2" t="inlineStr"/>
    </row>
    <row r="340" ht="15" customHeight="1">
      <c r="A340" t="inlineStr">
        <is>
          <t>A 28391-2024</t>
        </is>
      </c>
      <c r="B340" s="1" t="n">
        <v>45477</v>
      </c>
      <c r="C340" s="1" t="n">
        <v>45567</v>
      </c>
      <c r="D340" t="inlineStr">
        <is>
          <t>GÄVLEBORGS LÄN</t>
        </is>
      </c>
      <c r="E340" t="inlineStr">
        <is>
          <t>HOFORS</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28534-2024</t>
        </is>
      </c>
      <c r="B341" s="1" t="n">
        <v>45478</v>
      </c>
      <c r="C341" s="1" t="n">
        <v>45567</v>
      </c>
      <c r="D341" t="inlineStr">
        <is>
          <t>GÄVLEBORGS LÄN</t>
        </is>
      </c>
      <c r="E341" t="inlineStr">
        <is>
          <t>HOFORS</t>
        </is>
      </c>
      <c r="G341" t="n">
        <v>1.7</v>
      </c>
      <c r="H341" t="n">
        <v>0</v>
      </c>
      <c r="I341" t="n">
        <v>0</v>
      </c>
      <c r="J341" t="n">
        <v>0</v>
      </c>
      <c r="K341" t="n">
        <v>0</v>
      </c>
      <c r="L341" t="n">
        <v>0</v>
      </c>
      <c r="M341" t="n">
        <v>0</v>
      </c>
      <c r="N341" t="n">
        <v>0</v>
      </c>
      <c r="O341" t="n">
        <v>0</v>
      </c>
      <c r="P341" t="n">
        <v>0</v>
      </c>
      <c r="Q341" t="n">
        <v>0</v>
      </c>
      <c r="R341" s="2" t="inlineStr"/>
    </row>
    <row r="342" ht="15" customHeight="1">
      <c r="A342" t="inlineStr">
        <is>
          <t>A 28536-2024</t>
        </is>
      </c>
      <c r="B342" s="1" t="n">
        <v>45478</v>
      </c>
      <c r="C342" s="1" t="n">
        <v>45567</v>
      </c>
      <c r="D342" t="inlineStr">
        <is>
          <t>GÄVLEBORGS LÄN</t>
        </is>
      </c>
      <c r="E342" t="inlineStr">
        <is>
          <t>HOFORS</t>
        </is>
      </c>
      <c r="G342" t="n">
        <v>3.5</v>
      </c>
      <c r="H342" t="n">
        <v>0</v>
      </c>
      <c r="I342" t="n">
        <v>0</v>
      </c>
      <c r="J342" t="n">
        <v>0</v>
      </c>
      <c r="K342" t="n">
        <v>0</v>
      </c>
      <c r="L342" t="n">
        <v>0</v>
      </c>
      <c r="M342" t="n">
        <v>0</v>
      </c>
      <c r="N342" t="n">
        <v>0</v>
      </c>
      <c r="O342" t="n">
        <v>0</v>
      </c>
      <c r="P342" t="n">
        <v>0</v>
      </c>
      <c r="Q342" t="n">
        <v>0</v>
      </c>
      <c r="R342" s="2" t="inlineStr"/>
    </row>
    <row r="343" ht="15" customHeight="1">
      <c r="A343" t="inlineStr">
        <is>
          <t>A 30007-2024</t>
        </is>
      </c>
      <c r="B343" s="1" t="n">
        <v>45488</v>
      </c>
      <c r="C343" s="1" t="n">
        <v>45567</v>
      </c>
      <c r="D343" t="inlineStr">
        <is>
          <t>GÄVLEBORGS LÄN</t>
        </is>
      </c>
      <c r="E343" t="inlineStr">
        <is>
          <t>HOFORS</t>
        </is>
      </c>
      <c r="F343" t="inlineStr">
        <is>
          <t>Sveaskog</t>
        </is>
      </c>
      <c r="G343" t="n">
        <v>11.5</v>
      </c>
      <c r="H343" t="n">
        <v>0</v>
      </c>
      <c r="I343" t="n">
        <v>0</v>
      </c>
      <c r="J343" t="n">
        <v>0</v>
      </c>
      <c r="K343" t="n">
        <v>0</v>
      </c>
      <c r="L343" t="n">
        <v>0</v>
      </c>
      <c r="M343" t="n">
        <v>0</v>
      </c>
      <c r="N343" t="n">
        <v>0</v>
      </c>
      <c r="O343" t="n">
        <v>0</v>
      </c>
      <c r="P343" t="n">
        <v>0</v>
      </c>
      <c r="Q343" t="n">
        <v>0</v>
      </c>
      <c r="R343" s="2" t="inlineStr"/>
    </row>
    <row r="344" ht="15" customHeight="1">
      <c r="A344" t="inlineStr">
        <is>
          <t>A 30009-2024</t>
        </is>
      </c>
      <c r="B344" s="1" t="n">
        <v>45488</v>
      </c>
      <c r="C344" s="1" t="n">
        <v>45567</v>
      </c>
      <c r="D344" t="inlineStr">
        <is>
          <t>GÄVLEBORGS LÄN</t>
        </is>
      </c>
      <c r="E344" t="inlineStr">
        <is>
          <t>HOFORS</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30229-2024</t>
        </is>
      </c>
      <c r="B345" s="1" t="n">
        <v>45490</v>
      </c>
      <c r="C345" s="1" t="n">
        <v>45567</v>
      </c>
      <c r="D345" t="inlineStr">
        <is>
          <t>GÄVLEBORGS LÄN</t>
        </is>
      </c>
      <c r="E345" t="inlineStr">
        <is>
          <t>HOFORS</t>
        </is>
      </c>
      <c r="F345" t="inlineStr">
        <is>
          <t>Sveaskog</t>
        </is>
      </c>
      <c r="G345" t="n">
        <v>3.3</v>
      </c>
      <c r="H345" t="n">
        <v>0</v>
      </c>
      <c r="I345" t="n">
        <v>0</v>
      </c>
      <c r="J345" t="n">
        <v>0</v>
      </c>
      <c r="K345" t="n">
        <v>0</v>
      </c>
      <c r="L345" t="n">
        <v>0</v>
      </c>
      <c r="M345" t="n">
        <v>0</v>
      </c>
      <c r="N345" t="n">
        <v>0</v>
      </c>
      <c r="O345" t="n">
        <v>0</v>
      </c>
      <c r="P345" t="n">
        <v>0</v>
      </c>
      <c r="Q345" t="n">
        <v>0</v>
      </c>
      <c r="R345" s="2" t="inlineStr"/>
    </row>
    <row r="346" ht="15" customHeight="1">
      <c r="A346" t="inlineStr">
        <is>
          <t>A 31645-2024</t>
        </is>
      </c>
      <c r="B346" s="1" t="n">
        <v>45506</v>
      </c>
      <c r="C346" s="1" t="n">
        <v>45567</v>
      </c>
      <c r="D346" t="inlineStr">
        <is>
          <t>GÄVLEBORGS LÄN</t>
        </is>
      </c>
      <c r="E346" t="inlineStr">
        <is>
          <t>HOFORS</t>
        </is>
      </c>
      <c r="F346" t="inlineStr">
        <is>
          <t>Sveaskog</t>
        </is>
      </c>
      <c r="G346" t="n">
        <v>11.1</v>
      </c>
      <c r="H346" t="n">
        <v>0</v>
      </c>
      <c r="I346" t="n">
        <v>0</v>
      </c>
      <c r="J346" t="n">
        <v>0</v>
      </c>
      <c r="K346" t="n">
        <v>0</v>
      </c>
      <c r="L346" t="n">
        <v>0</v>
      </c>
      <c r="M346" t="n">
        <v>0</v>
      </c>
      <c r="N346" t="n">
        <v>0</v>
      </c>
      <c r="O346" t="n">
        <v>0</v>
      </c>
      <c r="P346" t="n">
        <v>0</v>
      </c>
      <c r="Q346" t="n">
        <v>0</v>
      </c>
      <c r="R346" s="2" t="inlineStr"/>
    </row>
    <row r="347" ht="15" customHeight="1">
      <c r="A347" t="inlineStr">
        <is>
          <t>A 31701-2024</t>
        </is>
      </c>
      <c r="B347" s="1" t="n">
        <v>45508</v>
      </c>
      <c r="C347" s="1" t="n">
        <v>45567</v>
      </c>
      <c r="D347" t="inlineStr">
        <is>
          <t>GÄVLEBORGS LÄN</t>
        </is>
      </c>
      <c r="E347" t="inlineStr">
        <is>
          <t>HOFORS</t>
        </is>
      </c>
      <c r="G347" t="n">
        <v>4.3</v>
      </c>
      <c r="H347" t="n">
        <v>0</v>
      </c>
      <c r="I347" t="n">
        <v>0</v>
      </c>
      <c r="J347" t="n">
        <v>0</v>
      </c>
      <c r="K347" t="n">
        <v>0</v>
      </c>
      <c r="L347" t="n">
        <v>0</v>
      </c>
      <c r="M347" t="n">
        <v>0</v>
      </c>
      <c r="N347" t="n">
        <v>0</v>
      </c>
      <c r="O347" t="n">
        <v>0</v>
      </c>
      <c r="P347" t="n">
        <v>0</v>
      </c>
      <c r="Q347" t="n">
        <v>0</v>
      </c>
      <c r="R347" s="2" t="inlineStr"/>
    </row>
    <row r="348" ht="15" customHeight="1">
      <c r="A348" t="inlineStr">
        <is>
          <t>A 32827-2024</t>
        </is>
      </c>
      <c r="B348" s="1" t="n">
        <v>45516</v>
      </c>
      <c r="C348" s="1" t="n">
        <v>45567</v>
      </c>
      <c r="D348" t="inlineStr">
        <is>
          <t>GÄVLEBORGS LÄN</t>
        </is>
      </c>
      <c r="E348" t="inlineStr">
        <is>
          <t>HOFORS</t>
        </is>
      </c>
      <c r="F348" t="inlineStr">
        <is>
          <t>Sveaskog</t>
        </is>
      </c>
      <c r="G348" t="n">
        <v>8.5</v>
      </c>
      <c r="H348" t="n">
        <v>0</v>
      </c>
      <c r="I348" t="n">
        <v>0</v>
      </c>
      <c r="J348" t="n">
        <v>0</v>
      </c>
      <c r="K348" t="n">
        <v>0</v>
      </c>
      <c r="L348" t="n">
        <v>0</v>
      </c>
      <c r="M348" t="n">
        <v>0</v>
      </c>
      <c r="N348" t="n">
        <v>0</v>
      </c>
      <c r="O348" t="n">
        <v>0</v>
      </c>
      <c r="P348" t="n">
        <v>0</v>
      </c>
      <c r="Q348" t="n">
        <v>0</v>
      </c>
      <c r="R348" s="2" t="inlineStr"/>
    </row>
    <row r="349" ht="15" customHeight="1">
      <c r="A349" t="inlineStr">
        <is>
          <t>A 33710-2024</t>
        </is>
      </c>
      <c r="B349" s="1" t="n">
        <v>45520</v>
      </c>
      <c r="C349" s="1" t="n">
        <v>45567</v>
      </c>
      <c r="D349" t="inlineStr">
        <is>
          <t>GÄVLEBORGS LÄN</t>
        </is>
      </c>
      <c r="E349" t="inlineStr">
        <is>
          <t>HOFORS</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33734-2024</t>
        </is>
      </c>
      <c r="B350" s="1" t="n">
        <v>45520</v>
      </c>
      <c r="C350" s="1" t="n">
        <v>45567</v>
      </c>
      <c r="D350" t="inlineStr">
        <is>
          <t>GÄVLEBORGS LÄN</t>
        </is>
      </c>
      <c r="E350" t="inlineStr">
        <is>
          <t>HOFORS</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33979-2024</t>
        </is>
      </c>
      <c r="B351" s="1" t="n">
        <v>45523</v>
      </c>
      <c r="C351" s="1" t="n">
        <v>45567</v>
      </c>
      <c r="D351" t="inlineStr">
        <is>
          <t>GÄVLEBORGS LÄN</t>
        </is>
      </c>
      <c r="E351" t="inlineStr">
        <is>
          <t>HOFORS</t>
        </is>
      </c>
      <c r="G351" t="n">
        <v>1.7</v>
      </c>
      <c r="H351" t="n">
        <v>0</v>
      </c>
      <c r="I351" t="n">
        <v>0</v>
      </c>
      <c r="J351" t="n">
        <v>0</v>
      </c>
      <c r="K351" t="n">
        <v>0</v>
      </c>
      <c r="L351" t="n">
        <v>0</v>
      </c>
      <c r="M351" t="n">
        <v>0</v>
      </c>
      <c r="N351" t="n">
        <v>0</v>
      </c>
      <c r="O351" t="n">
        <v>0</v>
      </c>
      <c r="P351" t="n">
        <v>0</v>
      </c>
      <c r="Q351" t="n">
        <v>0</v>
      </c>
      <c r="R351" s="2" t="inlineStr"/>
    </row>
    <row r="352" ht="15" customHeight="1">
      <c r="A352" t="inlineStr">
        <is>
          <t>A 33983-2024</t>
        </is>
      </c>
      <c r="B352" s="1" t="n">
        <v>45523</v>
      </c>
      <c r="C352" s="1" t="n">
        <v>45567</v>
      </c>
      <c r="D352" t="inlineStr">
        <is>
          <t>GÄVLEBORGS LÄN</t>
        </is>
      </c>
      <c r="E352" t="inlineStr">
        <is>
          <t>HOFORS</t>
        </is>
      </c>
      <c r="F352" t="inlineStr">
        <is>
          <t>Bergvik skog öst AB</t>
        </is>
      </c>
      <c r="G352" t="n">
        <v>6.1</v>
      </c>
      <c r="H352" t="n">
        <v>0</v>
      </c>
      <c r="I352" t="n">
        <v>0</v>
      </c>
      <c r="J352" t="n">
        <v>0</v>
      </c>
      <c r="K352" t="n">
        <v>0</v>
      </c>
      <c r="L352" t="n">
        <v>0</v>
      </c>
      <c r="M352" t="n">
        <v>0</v>
      </c>
      <c r="N352" t="n">
        <v>0</v>
      </c>
      <c r="O352" t="n">
        <v>0</v>
      </c>
      <c r="P352" t="n">
        <v>0</v>
      </c>
      <c r="Q352" t="n">
        <v>0</v>
      </c>
      <c r="R352" s="2" t="inlineStr"/>
    </row>
    <row r="353" ht="15" customHeight="1">
      <c r="A353" t="inlineStr">
        <is>
          <t>A 33984-2024</t>
        </is>
      </c>
      <c r="B353" s="1" t="n">
        <v>45523</v>
      </c>
      <c r="C353" s="1" t="n">
        <v>45567</v>
      </c>
      <c r="D353" t="inlineStr">
        <is>
          <t>GÄVLEBORGS LÄN</t>
        </is>
      </c>
      <c r="E353" t="inlineStr">
        <is>
          <t>HOFORS</t>
        </is>
      </c>
      <c r="G353" t="n">
        <v>0.5</v>
      </c>
      <c r="H353" t="n">
        <v>0</v>
      </c>
      <c r="I353" t="n">
        <v>0</v>
      </c>
      <c r="J353" t="n">
        <v>0</v>
      </c>
      <c r="K353" t="n">
        <v>0</v>
      </c>
      <c r="L353" t="n">
        <v>0</v>
      </c>
      <c r="M353" t="n">
        <v>0</v>
      </c>
      <c r="N353" t="n">
        <v>0</v>
      </c>
      <c r="O353" t="n">
        <v>0</v>
      </c>
      <c r="P353" t="n">
        <v>0</v>
      </c>
      <c r="Q353" t="n">
        <v>0</v>
      </c>
      <c r="R353" s="2" t="inlineStr"/>
    </row>
    <row r="354" ht="15" customHeight="1">
      <c r="A354" t="inlineStr">
        <is>
          <t>A 33978-2024</t>
        </is>
      </c>
      <c r="B354" s="1" t="n">
        <v>45523</v>
      </c>
      <c r="C354" s="1" t="n">
        <v>45567</v>
      </c>
      <c r="D354" t="inlineStr">
        <is>
          <t>GÄVLEBORGS LÄN</t>
        </is>
      </c>
      <c r="E354" t="inlineStr">
        <is>
          <t>HOFORS</t>
        </is>
      </c>
      <c r="G354" t="n">
        <v>0.6</v>
      </c>
      <c r="H354" t="n">
        <v>0</v>
      </c>
      <c r="I354" t="n">
        <v>0</v>
      </c>
      <c r="J354" t="n">
        <v>0</v>
      </c>
      <c r="K354" t="n">
        <v>0</v>
      </c>
      <c r="L354" t="n">
        <v>0</v>
      </c>
      <c r="M354" t="n">
        <v>0</v>
      </c>
      <c r="N354" t="n">
        <v>0</v>
      </c>
      <c r="O354" t="n">
        <v>0</v>
      </c>
      <c r="P354" t="n">
        <v>0</v>
      </c>
      <c r="Q354" t="n">
        <v>0</v>
      </c>
      <c r="R354" s="2" t="inlineStr"/>
    </row>
    <row r="355" ht="15" customHeight="1">
      <c r="A355" t="inlineStr">
        <is>
          <t>A 33981-2024</t>
        </is>
      </c>
      <c r="B355" s="1" t="n">
        <v>45523</v>
      </c>
      <c r="C355" s="1" t="n">
        <v>45567</v>
      </c>
      <c r="D355" t="inlineStr">
        <is>
          <t>GÄVLEBORGS LÄN</t>
        </is>
      </c>
      <c r="E355" t="inlineStr">
        <is>
          <t>HOFORS</t>
        </is>
      </c>
      <c r="G355" t="n">
        <v>2.3</v>
      </c>
      <c r="H355" t="n">
        <v>0</v>
      </c>
      <c r="I355" t="n">
        <v>0</v>
      </c>
      <c r="J355" t="n">
        <v>0</v>
      </c>
      <c r="K355" t="n">
        <v>0</v>
      </c>
      <c r="L355" t="n">
        <v>0</v>
      </c>
      <c r="M355" t="n">
        <v>0</v>
      </c>
      <c r="N355" t="n">
        <v>0</v>
      </c>
      <c r="O355" t="n">
        <v>0</v>
      </c>
      <c r="P355" t="n">
        <v>0</v>
      </c>
      <c r="Q355" t="n">
        <v>0</v>
      </c>
      <c r="R355" s="2" t="inlineStr"/>
    </row>
    <row r="356" ht="15" customHeight="1">
      <c r="A356" t="inlineStr">
        <is>
          <t>A 33985-2024</t>
        </is>
      </c>
      <c r="B356" s="1" t="n">
        <v>45523</v>
      </c>
      <c r="C356" s="1" t="n">
        <v>45567</v>
      </c>
      <c r="D356" t="inlineStr">
        <is>
          <t>GÄVLEBORGS LÄN</t>
        </is>
      </c>
      <c r="E356" t="inlineStr">
        <is>
          <t>HOFORS</t>
        </is>
      </c>
      <c r="G356" t="n">
        <v>1.1</v>
      </c>
      <c r="H356" t="n">
        <v>0</v>
      </c>
      <c r="I356" t="n">
        <v>0</v>
      </c>
      <c r="J356" t="n">
        <v>0</v>
      </c>
      <c r="K356" t="n">
        <v>0</v>
      </c>
      <c r="L356" t="n">
        <v>0</v>
      </c>
      <c r="M356" t="n">
        <v>0</v>
      </c>
      <c r="N356" t="n">
        <v>0</v>
      </c>
      <c r="O356" t="n">
        <v>0</v>
      </c>
      <c r="P356" t="n">
        <v>0</v>
      </c>
      <c r="Q356" t="n">
        <v>0</v>
      </c>
      <c r="R356" s="2" t="inlineStr"/>
    </row>
    <row r="357" ht="15" customHeight="1">
      <c r="A357" t="inlineStr">
        <is>
          <t>A 35498-2024</t>
        </is>
      </c>
      <c r="B357" s="1" t="n">
        <v>45531</v>
      </c>
      <c r="C357" s="1" t="n">
        <v>45567</v>
      </c>
      <c r="D357" t="inlineStr">
        <is>
          <t>GÄVLEBORGS LÄN</t>
        </is>
      </c>
      <c r="E357" t="inlineStr">
        <is>
          <t>HOFORS</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35514-2024</t>
        </is>
      </c>
      <c r="B358" s="1" t="n">
        <v>45531</v>
      </c>
      <c r="C358" s="1" t="n">
        <v>45567</v>
      </c>
      <c r="D358" t="inlineStr">
        <is>
          <t>GÄVLEBORGS LÄN</t>
        </is>
      </c>
      <c r="E358" t="inlineStr">
        <is>
          <t>HOFORS</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35505-2024</t>
        </is>
      </c>
      <c r="B359" s="1" t="n">
        <v>45531</v>
      </c>
      <c r="C359" s="1" t="n">
        <v>45567</v>
      </c>
      <c r="D359" t="inlineStr">
        <is>
          <t>GÄVLEBORGS LÄN</t>
        </is>
      </c>
      <c r="E359" t="inlineStr">
        <is>
          <t>HOFORS</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35504-2024</t>
        </is>
      </c>
      <c r="B360" s="1" t="n">
        <v>45531</v>
      </c>
      <c r="C360" s="1" t="n">
        <v>45567</v>
      </c>
      <c r="D360" t="inlineStr">
        <is>
          <t>GÄVLEBORGS LÄN</t>
        </is>
      </c>
      <c r="E360" t="inlineStr">
        <is>
          <t>HOFORS</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36278-2024</t>
        </is>
      </c>
      <c r="B361" s="1" t="n">
        <v>45534</v>
      </c>
      <c r="C361" s="1" t="n">
        <v>45567</v>
      </c>
      <c r="D361" t="inlineStr">
        <is>
          <t>GÄVLEBORGS LÄN</t>
        </is>
      </c>
      <c r="E361" t="inlineStr">
        <is>
          <t>HOFORS</t>
        </is>
      </c>
      <c r="F361" t="inlineStr">
        <is>
          <t>Sveaskog</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36283-2024</t>
        </is>
      </c>
      <c r="B362" s="1" t="n">
        <v>45534</v>
      </c>
      <c r="C362" s="1" t="n">
        <v>45567</v>
      </c>
      <c r="D362" t="inlineStr">
        <is>
          <t>GÄVLEBORGS LÄN</t>
        </is>
      </c>
      <c r="E362" t="inlineStr">
        <is>
          <t>HOFORS</t>
        </is>
      </c>
      <c r="F362" t="inlineStr">
        <is>
          <t>Sveaskog</t>
        </is>
      </c>
      <c r="G362" t="n">
        <v>6.9</v>
      </c>
      <c r="H362" t="n">
        <v>0</v>
      </c>
      <c r="I362" t="n">
        <v>0</v>
      </c>
      <c r="J362" t="n">
        <v>0</v>
      </c>
      <c r="K362" t="n">
        <v>0</v>
      </c>
      <c r="L362" t="n">
        <v>0</v>
      </c>
      <c r="M362" t="n">
        <v>0</v>
      </c>
      <c r="N362" t="n">
        <v>0</v>
      </c>
      <c r="O362" t="n">
        <v>0</v>
      </c>
      <c r="P362" t="n">
        <v>0</v>
      </c>
      <c r="Q362" t="n">
        <v>0</v>
      </c>
      <c r="R362" s="2" t="inlineStr"/>
    </row>
    <row r="363" ht="15" customHeight="1">
      <c r="A363" t="inlineStr">
        <is>
          <t>A 36766-2024</t>
        </is>
      </c>
      <c r="B363" s="1" t="n">
        <v>45538</v>
      </c>
      <c r="C363" s="1" t="n">
        <v>45567</v>
      </c>
      <c r="D363" t="inlineStr">
        <is>
          <t>GÄVLEBORGS LÄN</t>
        </is>
      </c>
      <c r="E363" t="inlineStr">
        <is>
          <t>HOFORS</t>
        </is>
      </c>
      <c r="G363" t="n">
        <v>5</v>
      </c>
      <c r="H363" t="n">
        <v>0</v>
      </c>
      <c r="I363" t="n">
        <v>0</v>
      </c>
      <c r="J363" t="n">
        <v>0</v>
      </c>
      <c r="K363" t="n">
        <v>0</v>
      </c>
      <c r="L363" t="n">
        <v>0</v>
      </c>
      <c r="M363" t="n">
        <v>0</v>
      </c>
      <c r="N363" t="n">
        <v>0</v>
      </c>
      <c r="O363" t="n">
        <v>0</v>
      </c>
      <c r="P363" t="n">
        <v>0</v>
      </c>
      <c r="Q363" t="n">
        <v>0</v>
      </c>
      <c r="R363" s="2" t="inlineStr"/>
    </row>
    <row r="364" ht="15" customHeight="1">
      <c r="A364" t="inlineStr">
        <is>
          <t>A 36763-2024</t>
        </is>
      </c>
      <c r="B364" s="1" t="n">
        <v>45538</v>
      </c>
      <c r="C364" s="1" t="n">
        <v>45567</v>
      </c>
      <c r="D364" t="inlineStr">
        <is>
          <t>GÄVLEBORGS LÄN</t>
        </is>
      </c>
      <c r="E364" t="inlineStr">
        <is>
          <t>HOFORS</t>
        </is>
      </c>
      <c r="G364" t="n">
        <v>1.5</v>
      </c>
      <c r="H364" t="n">
        <v>0</v>
      </c>
      <c r="I364" t="n">
        <v>0</v>
      </c>
      <c r="J364" t="n">
        <v>0</v>
      </c>
      <c r="K364" t="n">
        <v>0</v>
      </c>
      <c r="L364" t="n">
        <v>0</v>
      </c>
      <c r="M364" t="n">
        <v>0</v>
      </c>
      <c r="N364" t="n">
        <v>0</v>
      </c>
      <c r="O364" t="n">
        <v>0</v>
      </c>
      <c r="P364" t="n">
        <v>0</v>
      </c>
      <c r="Q364" t="n">
        <v>0</v>
      </c>
      <c r="R364" s="2" t="inlineStr"/>
    </row>
    <row r="365" ht="15" customHeight="1">
      <c r="A365" t="inlineStr">
        <is>
          <t>A 39083-2024</t>
        </is>
      </c>
      <c r="B365" s="1" t="n">
        <v>45548</v>
      </c>
      <c r="C365" s="1" t="n">
        <v>45567</v>
      </c>
      <c r="D365" t="inlineStr">
        <is>
          <t>GÄVLEBORGS LÄN</t>
        </is>
      </c>
      <c r="E365" t="inlineStr">
        <is>
          <t>HOFORS</t>
        </is>
      </c>
      <c r="G365" t="n">
        <v>0.6</v>
      </c>
      <c r="H365" t="n">
        <v>0</v>
      </c>
      <c r="I365" t="n">
        <v>0</v>
      </c>
      <c r="J365" t="n">
        <v>0</v>
      </c>
      <c r="K365" t="n">
        <v>0</v>
      </c>
      <c r="L365" t="n">
        <v>0</v>
      </c>
      <c r="M365" t="n">
        <v>0</v>
      </c>
      <c r="N365" t="n">
        <v>0</v>
      </c>
      <c r="O365" t="n">
        <v>0</v>
      </c>
      <c r="P365" t="n">
        <v>0</v>
      </c>
      <c r="Q365" t="n">
        <v>0</v>
      </c>
      <c r="R365" s="2" t="inlineStr"/>
    </row>
    <row r="366" ht="15" customHeight="1">
      <c r="A366" t="inlineStr">
        <is>
          <t>A 40861-2024</t>
        </is>
      </c>
      <c r="B366" s="1" t="n">
        <v>45558</v>
      </c>
      <c r="C366" s="1" t="n">
        <v>45567</v>
      </c>
      <c r="D366" t="inlineStr">
        <is>
          <t>GÄVLEBORGS LÄN</t>
        </is>
      </c>
      <c r="E366" t="inlineStr">
        <is>
          <t>HOFORS</t>
        </is>
      </c>
      <c r="F366" t="inlineStr">
        <is>
          <t>Sveaskog</t>
        </is>
      </c>
      <c r="G366" t="n">
        <v>19.5</v>
      </c>
      <c r="H366" t="n">
        <v>0</v>
      </c>
      <c r="I366" t="n">
        <v>0</v>
      </c>
      <c r="J366" t="n">
        <v>0</v>
      </c>
      <c r="K366" t="n">
        <v>0</v>
      </c>
      <c r="L366" t="n">
        <v>0</v>
      </c>
      <c r="M366" t="n">
        <v>0</v>
      </c>
      <c r="N366" t="n">
        <v>0</v>
      </c>
      <c r="O366" t="n">
        <v>0</v>
      </c>
      <c r="P366" t="n">
        <v>0</v>
      </c>
      <c r="Q366" t="n">
        <v>0</v>
      </c>
      <c r="R366" s="2" t="inlineStr"/>
    </row>
    <row r="367">
      <c r="A367" t="inlineStr">
        <is>
          <t>A 40863-2024</t>
        </is>
      </c>
      <c r="B367" s="1" t="n">
        <v>45558</v>
      </c>
      <c r="C367" s="1" t="n">
        <v>45567</v>
      </c>
      <c r="D367" t="inlineStr">
        <is>
          <t>GÄVLEBORGS LÄN</t>
        </is>
      </c>
      <c r="E367" t="inlineStr">
        <is>
          <t>HOFORS</t>
        </is>
      </c>
      <c r="F367" t="inlineStr">
        <is>
          <t>Sveaskog</t>
        </is>
      </c>
      <c r="G367" t="n">
        <v>1.2</v>
      </c>
      <c r="H367" t="n">
        <v>0</v>
      </c>
      <c r="I367" t="n">
        <v>0</v>
      </c>
      <c r="J367" t="n">
        <v>0</v>
      </c>
      <c r="K367" t="n">
        <v>0</v>
      </c>
      <c r="L367" t="n">
        <v>0</v>
      </c>
      <c r="M367" t="n">
        <v>0</v>
      </c>
      <c r="N367" t="n">
        <v>0</v>
      </c>
      <c r="O367" t="n">
        <v>0</v>
      </c>
      <c r="P367" t="n">
        <v>0</v>
      </c>
      <c r="Q367" t="n">
        <v>0</v>
      </c>
      <c r="R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2024-10-02T12:15:08Z</dcterms:created>
  <dcterms:modified xmlns:dcterms="http://purl.org/dc/terms/" xmlns:xsi="http://www.w3.org/2001/XMLSchema-instance" xsi:type="dcterms:W3CDTF">2024-10-02T12:15:08Z</dcterms:modified>
</cp:coreProperties>
</file>