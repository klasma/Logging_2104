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46271</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46271</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46271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46271</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46271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46271</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46271</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46271</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46271</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46271</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3870-2026</t>
        </is>
      </c>
      <c r="B22" t="inlineStr">
        <is>
          <t>avverkningsanmälan</t>
        </is>
      </c>
      <c r="C22" t="inlineStr">
        <is>
          <t>Föryngringsavverkning</t>
        </is>
      </c>
      <c r="D22" s="1" t="n">
        <v>46043</v>
      </c>
      <c r="E22" s="1" t="n">
        <v>46271</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46271</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46271</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46271</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46271</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46271</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A 47483-2021</t>
        </is>
      </c>
      <c r="B28" t="inlineStr">
        <is>
          <t>avverkningsanmälan</t>
        </is>
      </c>
      <c r="C28" t="inlineStr">
        <is>
          <t>Föryngringsavverkning</t>
        </is>
      </c>
      <c r="D28" s="1" t="n">
        <v>44447</v>
      </c>
      <c r="E28" s="1" t="n">
        <v>46271</v>
      </c>
      <c r="F28" t="inlineStr">
        <is>
          <t>GÄVLEBORGS LÄN</t>
        </is>
      </c>
      <c r="G28" t="inlineStr">
        <is>
          <t>HOFORS</t>
        </is>
      </c>
      <c r="I28" t="n">
        <v>6.9</v>
      </c>
      <c r="J28" t="n">
        <v>1</v>
      </c>
      <c r="K28" t="n">
        <v>1</v>
      </c>
      <c r="L28" t="n">
        <v>0</v>
      </c>
      <c r="M28" t="n">
        <v>1</v>
      </c>
      <c r="N28" t="n">
        <v>0</v>
      </c>
      <c r="O28" t="n">
        <v>0</v>
      </c>
      <c r="P28" t="n">
        <v>0</v>
      </c>
      <c r="Q28" t="n">
        <v>1</v>
      </c>
      <c r="R28" t="n">
        <v>1</v>
      </c>
      <c r="S28" t="n">
        <v>2</v>
      </c>
      <c r="T28" t="n">
        <v>10</v>
      </c>
      <c r="U28" t="n">
        <v>10</v>
      </c>
      <c r="V28" s="2" t="inlineStr">
        <is>
          <t>Knärot
Mindre märgborre</t>
        </is>
      </c>
      <c r="W28">
        <f>HYPERLINK("https://klasma.github.io/Logging_2104/artfynd/A 47483-2021 artfynd.xlsx", "A 47483-2021")</f>
        <v/>
      </c>
      <c r="X28">
        <f>HYPERLINK("https://klasma.github.io/Logging_2104/kartor/A 47483-2021 karta.png", "A 47483-2021")</f>
        <v/>
      </c>
      <c r="Y28">
        <f>HYPERLINK("https://klasma.github.io/Logging_2104/kartor_geotiff/A 47483-2021 georefererad karta.tif", "A 47483-2021")</f>
        <v/>
      </c>
      <c r="Z28">
        <f>HYPERLINK("https://klasma.github.io/Logging_2104/knärot/A 47483-2021 karta knärot.png", "A 47483-2021")</f>
        <v/>
      </c>
      <c r="AA28">
        <f>HYPERLINK("https://klasma.github.io/Logging_2104/klagomål/A 47483-2021 FSC-klagomål.docx", "A 47483-2021")</f>
        <v/>
      </c>
      <c r="AB28">
        <f>HYPERLINK("https://klasma.github.io/Logging_2104/klagomålsmail/A 47483-2021 FSC-klagomål mail.docx", "A 47483-2021")</f>
        <v/>
      </c>
      <c r="AC28">
        <f>HYPERLINK("https://klasma.github.io/Logging_2104/tillsyn/A 47483-2021 tillsynsbegäran.docx", "A 47483-2021")</f>
        <v/>
      </c>
      <c r="AD28">
        <f>HYPERLINK("https://klasma.github.io/Logging_2104/tillsynsmail/A 47483-2021 tillsynsbegäran mail.docx", "A 47483-2021")</f>
        <v/>
      </c>
    </row>
    <row r="29" ht="15" customHeight="1">
      <c r="A29" t="inlineStr">
        <is>
          <t>S 2081-2020</t>
        </is>
      </c>
      <c r="B29" t="inlineStr">
        <is>
          <t>samrådsanmälan</t>
        </is>
      </c>
      <c r="C29" t="inlineStr">
        <is>
          <t>Askåterföring</t>
        </is>
      </c>
      <c r="D29" s="1" t="n">
        <v>44102</v>
      </c>
      <c r="E29" s="1" t="n">
        <v>46271</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46271</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46271</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46271</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46271</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46271</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46271</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46271</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46271</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46271</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46271</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46271</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28392-2024</t>
        </is>
      </c>
      <c r="B41" t="inlineStr">
        <is>
          <t>avverkningsanmälan</t>
        </is>
      </c>
      <c r="C41" t="inlineStr">
        <is>
          <t>Föryngringsavverkning</t>
        </is>
      </c>
      <c r="D41" s="1" t="n">
        <v>45477</v>
      </c>
      <c r="E41" s="1" t="n">
        <v>46271</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54828-2021</t>
        </is>
      </c>
      <c r="B42" t="inlineStr">
        <is>
          <t>avverkningsanmälan</t>
        </is>
      </c>
      <c r="C42" t="inlineStr">
        <is>
          <t>Avverkning för att bevara och utveckla /försöksver</t>
        </is>
      </c>
      <c r="D42" s="1" t="n">
        <v>44473</v>
      </c>
      <c r="E42" s="1" t="n">
        <v>46271</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27431-2025</t>
        </is>
      </c>
      <c r="B43" t="inlineStr">
        <is>
          <t>avverkningsanmälan</t>
        </is>
      </c>
      <c r="C43" t="inlineStr">
        <is>
          <t>Föryngringsavverkning</t>
        </is>
      </c>
      <c r="D43" s="1" t="n">
        <v>45813</v>
      </c>
      <c r="E43" s="1" t="n">
        <v>46271</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46271</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46271</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46271</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234-2023</t>
        </is>
      </c>
      <c r="B47" t="inlineStr">
        <is>
          <t>avverkningsanmälan</t>
        </is>
      </c>
      <c r="C47" t="inlineStr">
        <is>
          <t>Föryngringsavverkning</t>
        </is>
      </c>
      <c r="D47" s="1" t="n">
        <v>44928</v>
      </c>
      <c r="E47" s="1" t="n">
        <v>46271</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t="n">
        <v>1</v>
      </c>
      <c r="V47" s="2" t="inlineStr">
        <is>
          <t>Knärot</t>
        </is>
      </c>
      <c r="W47">
        <f>HYPERLINK("https://klasma.github.io/Logging_2104/artfynd/A 234-2023 artfynd.xlsx", "A 234-2023")</f>
        <v/>
      </c>
      <c r="X47">
        <f>HYPERLINK("https://klasma.github.io/Logging_2104/kartor/A 234-2023 karta.png", "A 234-2023")</f>
        <v/>
      </c>
      <c r="Y47">
        <f>HYPERLINK("https://klasma.github.io/Logging_2104/kartor_geotiff/A 234-2023 georefererad karta.tif", "A 234-2023")</f>
        <v/>
      </c>
      <c r="Z47">
        <f>HYPERLINK("https://klasma.github.io/Logging_2104/knärot/A 234-2023 karta knärot.png", "A 234-2023")</f>
        <v/>
      </c>
      <c r="AA47">
        <f>HYPERLINK("https://klasma.github.io/Logging_2104/klagomål/A 234-2023 FSC-klagomål.docx", "A 234-2023")</f>
        <v/>
      </c>
      <c r="AB47">
        <f>HYPERLINK("https://klasma.github.io/Logging_2104/klagomålsmail/A 234-2023 FSC-klagomål mail.docx", "A 234-2023")</f>
        <v/>
      </c>
      <c r="AC47">
        <f>HYPERLINK("https://klasma.github.io/Logging_2104/tillsyn/A 234-2023 tillsynsbegäran.docx", "A 234-2023")</f>
        <v/>
      </c>
      <c r="AD47">
        <f>HYPERLINK("https://klasma.github.io/Logging_2104/tillsynsmail/A 234-2023 tillsynsbegäran mail.docx", "A 234-2023")</f>
        <v/>
      </c>
    </row>
    <row r="48" ht="15" customHeight="1">
      <c r="A48" t="inlineStr">
        <is>
          <t>A 28397-2024</t>
        </is>
      </c>
      <c r="B48" t="inlineStr">
        <is>
          <t>avverkningsanmälan</t>
        </is>
      </c>
      <c r="C48" t="inlineStr">
        <is>
          <t>Föryngringsavverkning</t>
        </is>
      </c>
      <c r="D48" s="1" t="n">
        <v>45477</v>
      </c>
      <c r="E48" s="1" t="n">
        <v>46271</v>
      </c>
      <c r="F48" t="inlineStr">
        <is>
          <t>GÄVLEBORGS LÄN</t>
        </is>
      </c>
      <c r="G48" t="inlineStr">
        <is>
          <t>HOFORS</t>
        </is>
      </c>
      <c r="H48" t="inlineStr">
        <is>
          <t>Sveaskog</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28397-2024 artfynd.xlsx", "A 28397-2024")</f>
        <v/>
      </c>
      <c r="X48">
        <f>HYPERLINK("https://klasma.github.io/Logging_2104/kartor/A 28397-2024 karta.png", "A 28397-2024")</f>
        <v/>
      </c>
      <c r="Y48">
        <f>HYPERLINK("https://klasma.github.io/Logging_2104/kartor_geotiff/A 28397-2024 georefererad karta.tif", "A 28397-2024")</f>
        <v/>
      </c>
      <c r="AA48">
        <f>HYPERLINK("https://klasma.github.io/Logging_2104/klagomål/A 28397-2024 FSC-klagomål.docx", "A 28397-2024")</f>
        <v/>
      </c>
      <c r="AB48">
        <f>HYPERLINK("https://klasma.github.io/Logging_2104/klagomålsmail/A 28397-2024 FSC-klagomål mail.docx", "A 28397-2024")</f>
        <v/>
      </c>
      <c r="AC48">
        <f>HYPERLINK("https://klasma.github.io/Logging_2104/tillsyn/A 28397-2024 tillsynsbegäran.docx", "A 28397-2024")</f>
        <v/>
      </c>
      <c r="AD48">
        <f>HYPERLINK("https://klasma.github.io/Logging_2104/tillsynsmail/A 28397-2024 tillsynsbegäran mail.docx", "A 28397-2024")</f>
        <v/>
      </c>
    </row>
    <row r="49" ht="15" customHeight="1">
      <c r="A49" t="inlineStr">
        <is>
          <t>A 23354-2024</t>
        </is>
      </c>
      <c r="B49" t="inlineStr">
        <is>
          <t>avverkningsanmälan</t>
        </is>
      </c>
      <c r="C49" t="inlineStr">
        <is>
          <t>Föryngringsavverkning</t>
        </is>
      </c>
      <c r="D49" s="1" t="n">
        <v>45453</v>
      </c>
      <c r="E49" s="1" t="n">
        <v>46271</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44694-2025</t>
        </is>
      </c>
      <c r="B50" t="inlineStr">
        <is>
          <t>avverkningsanmälan</t>
        </is>
      </c>
      <c r="C50" t="inlineStr">
        <is>
          <t>Föryngringsavverkning</t>
        </is>
      </c>
      <c r="D50" s="1" t="n">
        <v>45917</v>
      </c>
      <c r="E50" s="1" t="n">
        <v>46271</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7543-2024</t>
        </is>
      </c>
      <c r="B51" t="inlineStr">
        <is>
          <t>avverkningsanmälan</t>
        </is>
      </c>
      <c r="C51" t="inlineStr">
        <is>
          <t>Föryngringsavverkning</t>
        </is>
      </c>
      <c r="D51" s="1" t="n">
        <v>45348</v>
      </c>
      <c r="E51" s="1" t="n">
        <v>46271</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46271</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46271</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46271</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30008-2024</t>
        </is>
      </c>
      <c r="B55" t="inlineStr">
        <is>
          <t>avverkningsanmälan</t>
        </is>
      </c>
      <c r="C55" t="inlineStr">
        <is>
          <t>Föryngringsavverkning</t>
        </is>
      </c>
      <c r="D55" s="1" t="n">
        <v>45488</v>
      </c>
      <c r="E55" s="1" t="n">
        <v>46271</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46271</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37988-2025</t>
        </is>
      </c>
      <c r="B57" t="inlineStr">
        <is>
          <t>avverkningsanmälan</t>
        </is>
      </c>
      <c r="C57" t="inlineStr">
        <is>
          <t>Föryngringsavverkning</t>
        </is>
      </c>
      <c r="D57" s="1" t="n">
        <v>45881</v>
      </c>
      <c r="E57" s="1" t="n">
        <v>46271</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35514-2024</t>
        </is>
      </c>
      <c r="B58" t="inlineStr">
        <is>
          <t>avverkningsanmälan</t>
        </is>
      </c>
      <c r="C58" t="inlineStr">
        <is>
          <t>Föryngringsavverkning</t>
        </is>
      </c>
      <c r="D58" s="1" t="n">
        <v>45531</v>
      </c>
      <c r="E58" s="1" t="n">
        <v>46271</v>
      </c>
      <c r="F58" t="inlineStr">
        <is>
          <t>GÄVLEBORGS LÄN</t>
        </is>
      </c>
      <c r="G58" t="inlineStr">
        <is>
          <t>HOFORS</t>
        </is>
      </c>
      <c r="H58" t="inlineStr">
        <is>
          <t>Sveaskog</t>
        </is>
      </c>
      <c r="I58" t="n">
        <v>6.5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HYPERLINK("https://klasma.github.io/Logging_2104/artfynd/A 35514-2024 artfynd.xlsx", "A 35514-2024")</f>
        <v/>
      </c>
      <c r="X58">
        <f>HYPERLINK("https://klasma.github.io/Logging_2104/kartor/A 35514-2024 karta.png", "A 35514-2024")</f>
        <v/>
      </c>
      <c r="Y58">
        <f>HYPERLINK("https://klasma.github.io/Logging_2104/kartor_geotiff/A 35514-2024 georefererad karta.tif", "A 35514-2024")</f>
        <v/>
      </c>
      <c r="AA58">
        <f>HYPERLINK("https://klasma.github.io/Logging_2104/klagomål/A 35514-2024 FSC-klagomål.docx", "A 35514-2024")</f>
        <v/>
      </c>
      <c r="AB58">
        <f>HYPERLINK("https://klasma.github.io/Logging_2104/klagomålsmail/A 35514-2024 FSC-klagomål mail.docx", "A 35514-2024")</f>
        <v/>
      </c>
      <c r="AC58">
        <f>HYPERLINK("https://klasma.github.io/Logging_2104/tillsyn/A 35514-2024 tillsynsbegäran.docx", "A 35514-2024")</f>
        <v/>
      </c>
      <c r="AD58">
        <f>HYPERLINK("https://klasma.github.io/Logging_2104/tillsynsmail/A 35514-2024 tillsynsbegäran mail.docx", "A 35514-2024")</f>
        <v/>
      </c>
      <c r="AE58">
        <f>HYPERLINK("https://klasma.github.io/Logging_2104/fåglar/A 35514-2024 prioriterade fågelarter.docx", "A 35514-2024")</f>
        <v/>
      </c>
    </row>
    <row r="59" ht="15" customHeight="1">
      <c r="A59" t="inlineStr">
        <is>
          <t>A 10587-2022</t>
        </is>
      </c>
      <c r="B59" t="inlineStr">
        <is>
          <t>avverkningsanmälan</t>
        </is>
      </c>
      <c r="C59" t="inlineStr">
        <is>
          <t>Föryngringsavverkning</t>
        </is>
      </c>
      <c r="D59" s="1" t="n">
        <v>44624</v>
      </c>
      <c r="E59" s="1" t="n">
        <v>46271</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46058-2025</t>
        </is>
      </c>
      <c r="B60" t="inlineStr">
        <is>
          <t>avverkningsanmälan</t>
        </is>
      </c>
      <c r="C60" t="inlineStr">
        <is>
          <t>Föryngringsavverkning</t>
        </is>
      </c>
      <c r="D60" s="1" t="n">
        <v>45924</v>
      </c>
      <c r="E60" s="1" t="n">
        <v>46271</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t="n">
        <v>0</v>
      </c>
      <c r="V60" s="2" t="inlineStr">
        <is>
          <t>Skarp dropptaggsvamp</t>
        </is>
      </c>
      <c r="W60">
        <f>HYPERLINK("https://klasma.github.io/Logging_2104/artfynd/A 46058-2025 artfynd.xlsx", "A 46058-2025")</f>
        <v/>
      </c>
      <c r="X60">
        <f>HYPERLINK("https://klasma.github.io/Logging_2104/kartor/A 46058-2025 karta.png", "A 46058-2025")</f>
        <v/>
      </c>
      <c r="Y60">
        <f>HYPERLINK("https://klasma.github.io/Logging_2104/kartor_geotiff/A 46058-2025 georefererad karta.tif", "A 46058-2025")</f>
        <v/>
      </c>
      <c r="AA60">
        <f>HYPERLINK("https://klasma.github.io/Logging_2104/klagomål/A 46058-2025 FSC-klagomål.docx", "A 46058-2025")</f>
        <v/>
      </c>
      <c r="AB60">
        <f>HYPERLINK("https://klasma.github.io/Logging_2104/klagomålsmail/A 46058-2025 FSC-klagomål mail.docx", "A 46058-2025")</f>
        <v/>
      </c>
      <c r="AC60">
        <f>HYPERLINK("https://klasma.github.io/Logging_2104/tillsyn/A 46058-2025 tillsynsbegäran.docx", "A 46058-2025")</f>
        <v/>
      </c>
      <c r="AD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46271</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48063-2024</t>
        </is>
      </c>
      <c r="B62" t="inlineStr">
        <is>
          <t>avverkningsanmälan</t>
        </is>
      </c>
      <c r="C62" t="inlineStr">
        <is>
          <t>Föryngringsavverkning</t>
        </is>
      </c>
      <c r="D62" s="1" t="n">
        <v>45589</v>
      </c>
      <c r="E62" s="1" t="n">
        <v>46271</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13745-2023</t>
        </is>
      </c>
      <c r="B63" t="inlineStr">
        <is>
          <t>avverkningsanmälan</t>
        </is>
      </c>
      <c r="C63" t="inlineStr">
        <is>
          <t>Föryngringsavverkning</t>
        </is>
      </c>
      <c r="D63" s="1" t="n">
        <v>45007</v>
      </c>
      <c r="E63" s="1" t="n">
        <v>46271</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45965-2025</t>
        </is>
      </c>
      <c r="B64" t="inlineStr">
        <is>
          <t>avverkningsanmälan</t>
        </is>
      </c>
      <c r="C64" t="inlineStr">
        <is>
          <t>Föryngringsavverkning</t>
        </is>
      </c>
      <c r="D64" s="1" t="n">
        <v>45924</v>
      </c>
      <c r="E64" s="1" t="n">
        <v>46271</v>
      </c>
      <c r="F64" t="inlineStr">
        <is>
          <t>GÄVLEBORGS LÄN</t>
        </is>
      </c>
      <c r="G64" t="inlineStr">
        <is>
          <t>HOFORS</t>
        </is>
      </c>
      <c r="H64" t="inlineStr">
        <is>
          <t>Sveaskog</t>
        </is>
      </c>
      <c r="I64" t="n">
        <v>5.8</v>
      </c>
      <c r="J64" t="n">
        <v>1</v>
      </c>
      <c r="K64" t="n">
        <v>0</v>
      </c>
      <c r="L64" t="n">
        <v>0</v>
      </c>
      <c r="M64" t="n">
        <v>0</v>
      </c>
      <c r="N64" t="n">
        <v>0</v>
      </c>
      <c r="O64" t="n">
        <v>0</v>
      </c>
      <c r="P64" t="n">
        <v>0</v>
      </c>
      <c r="Q64" t="n">
        <v>0</v>
      </c>
      <c r="R64" t="n">
        <v>0</v>
      </c>
      <c r="S64" t="n">
        <v>1</v>
      </c>
      <c r="T64" t="n">
        <v>1</v>
      </c>
      <c r="U64" t="n">
        <v>0</v>
      </c>
      <c r="V64" s="2" t="inlineStr">
        <is>
          <t>Orre</t>
        </is>
      </c>
      <c r="W64">
        <f>HYPERLINK("https://klasma.github.io/Logging_2104/artfynd/A 45965-2025 artfynd.xlsx", "A 45965-2025")</f>
        <v/>
      </c>
      <c r="X64">
        <f>HYPERLINK("https://klasma.github.io/Logging_2104/kartor/A 45965-2025 karta.png", "A 45965-2025")</f>
        <v/>
      </c>
      <c r="Y64">
        <f>HYPERLINK("https://klasma.github.io/Logging_2104/kartor_geotiff/A 45965-2025 georefererad karta.tif", "A 45965-2025")</f>
        <v/>
      </c>
      <c r="AA64">
        <f>HYPERLINK("https://klasma.github.io/Logging_2104/klagomål/A 45965-2025 FSC-klagomål.docx", "A 45965-2025")</f>
        <v/>
      </c>
      <c r="AB64">
        <f>HYPERLINK("https://klasma.github.io/Logging_2104/klagomålsmail/A 45965-2025 FSC-klagomål mail.docx", "A 45965-2025")</f>
        <v/>
      </c>
      <c r="AC64">
        <f>HYPERLINK("https://klasma.github.io/Logging_2104/tillsyn/A 45965-2025 tillsynsbegäran.docx", "A 45965-2025")</f>
        <v/>
      </c>
      <c r="AD64">
        <f>HYPERLINK("https://klasma.github.io/Logging_2104/tillsynsmail/A 45965-2025 tillsynsbegäran mail.docx", "A 45965-2025")</f>
        <v/>
      </c>
      <c r="AE64">
        <f>HYPERLINK("https://klasma.github.io/Logging_2104/fåglar/A 45965-2025 prioriterade fågelarter.docx", "A 45965-2025")</f>
        <v/>
      </c>
    </row>
    <row r="65" ht="15" customHeight="1">
      <c r="A65" t="inlineStr">
        <is>
          <t>A 33298-2023</t>
        </is>
      </c>
      <c r="B65" t="inlineStr">
        <is>
          <t>avverkningsanmälan</t>
        </is>
      </c>
      <c r="C65" t="inlineStr">
        <is>
          <t>Föryngringsavverkning</t>
        </is>
      </c>
      <c r="D65" s="1" t="n">
        <v>45127</v>
      </c>
      <c r="E65" s="1" t="n">
        <v>46271</v>
      </c>
      <c r="F65" t="inlineStr">
        <is>
          <t>GÄVLEBORGS LÄN</t>
        </is>
      </c>
      <c r="G65" t="inlineStr">
        <is>
          <t>HOFORS</t>
        </is>
      </c>
      <c r="H65" t="inlineStr">
        <is>
          <t>Sveaskog</t>
        </is>
      </c>
      <c r="I65" t="n">
        <v>5.6</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HYPERLINK("https://klasma.github.io/Logging_2104/artfynd/A 33298-2023 artfynd.xlsx", "A 33298-2023")</f>
        <v/>
      </c>
      <c r="X65">
        <f>HYPERLINK("https://klasma.github.io/Logging_2104/kartor/A 33298-2023 karta.png", "A 33298-2023")</f>
        <v/>
      </c>
      <c r="Y65">
        <f>HYPERLINK("https://klasma.github.io/Logging_2104/kartor_geotiff/A 33298-2023 georefererad karta.tif", "A 33298-2023")</f>
        <v/>
      </c>
      <c r="AA65">
        <f>HYPERLINK("https://klasma.github.io/Logging_2104/klagomål/A 33298-2023 FSC-klagomål.docx", "A 33298-2023")</f>
        <v/>
      </c>
      <c r="AB65">
        <f>HYPERLINK("https://klasma.github.io/Logging_2104/klagomålsmail/A 33298-2023 FSC-klagomål mail.docx", "A 33298-2023")</f>
        <v/>
      </c>
      <c r="AC65">
        <f>HYPERLINK("https://klasma.github.io/Logging_2104/tillsyn/A 33298-2023 tillsynsbegäran.docx", "A 33298-2023")</f>
        <v/>
      </c>
      <c r="AD65">
        <f>HYPERLINK("https://klasma.github.io/Logging_2104/tillsynsmail/A 33298-2023 tillsynsbegäran mail.docx", "A 33298-2023")</f>
        <v/>
      </c>
    </row>
    <row r="66" ht="15" customHeight="1">
      <c r="A66" t="inlineStr">
        <is>
          <t>A 36278-2024</t>
        </is>
      </c>
      <c r="B66" t="inlineStr">
        <is>
          <t>avverkningsanmälan</t>
        </is>
      </c>
      <c r="C66" t="inlineStr">
        <is>
          <t>Föryngringsavverkning</t>
        </is>
      </c>
      <c r="D66" s="1" t="n">
        <v>45534</v>
      </c>
      <c r="E66" s="1" t="n">
        <v>46271</v>
      </c>
      <c r="F66" t="inlineStr">
        <is>
          <t>GÄVLEBORGS LÄN</t>
        </is>
      </c>
      <c r="G66" t="inlineStr">
        <is>
          <t>HOFORS</t>
        </is>
      </c>
      <c r="H66" t="inlineStr">
        <is>
          <t>Sveaskog</t>
        </is>
      </c>
      <c r="I66" t="n">
        <v>8.699999999999999</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HYPERLINK("https://klasma.github.io/Logging_2104/artfynd/A 36278-2024 artfynd.xlsx", "A 36278-2024")</f>
        <v/>
      </c>
      <c r="X66">
        <f>HYPERLINK("https://klasma.github.io/Logging_2104/kartor/A 36278-2024 karta.png", "A 36278-2024")</f>
        <v/>
      </c>
      <c r="Y66">
        <f>HYPERLINK("https://klasma.github.io/Logging_2104/kartor_geotiff/A 36278-2024 georefererad karta.tif", "A 36278-2024")</f>
        <v/>
      </c>
      <c r="AA66">
        <f>HYPERLINK("https://klasma.github.io/Logging_2104/klagomål/A 36278-2024 FSC-klagomål.docx", "A 36278-2024")</f>
        <v/>
      </c>
      <c r="AB66">
        <f>HYPERLINK("https://klasma.github.io/Logging_2104/klagomålsmail/A 36278-2024 FSC-klagomål mail.docx", "A 36278-2024")</f>
        <v/>
      </c>
      <c r="AC66">
        <f>HYPERLINK("https://klasma.github.io/Logging_2104/tillsyn/A 36278-2024 tillsynsbegäran.docx", "A 36278-2024")</f>
        <v/>
      </c>
      <c r="AD66">
        <f>HYPERLINK("https://klasma.github.io/Logging_2104/tillsynsmail/A 36278-2024 tillsynsbegäran mail.docx", "A 36278-2024")</f>
        <v/>
      </c>
      <c r="AE66">
        <f>HYPERLINK("https://klasma.github.io/Logging_2104/fåglar/A 36278-2024 prioriterade fågelarter.docx", "A 36278-2024")</f>
        <v/>
      </c>
    </row>
    <row r="67" ht="15" customHeight="1">
      <c r="A67" t="inlineStr">
        <is>
          <t>A 26513-2026</t>
        </is>
      </c>
      <c r="B67" t="inlineStr">
        <is>
          <t>avverkningsanmälan</t>
        </is>
      </c>
      <c r="C67" t="inlineStr">
        <is>
          <t>Föryngringsavverkning</t>
        </is>
      </c>
      <c r="D67" s="1" t="n">
        <v>46183</v>
      </c>
      <c r="E67" s="1" t="n">
        <v>46271</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35521-2024</t>
        </is>
      </c>
      <c r="B68" t="inlineStr">
        <is>
          <t>avverkningsanmälan</t>
        </is>
      </c>
      <c r="C68" t="inlineStr">
        <is>
          <t>Föryngringsavverkning</t>
        </is>
      </c>
      <c r="D68" s="1" t="n">
        <v>45531</v>
      </c>
      <c r="E68" s="1" t="n">
        <v>46271</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28273-2026</t>
        </is>
      </c>
      <c r="B69" t="inlineStr">
        <is>
          <t>avverkningsanmälan</t>
        </is>
      </c>
      <c r="C69" t="inlineStr">
        <is>
          <t>Föryngringsavverkning</t>
        </is>
      </c>
      <c r="D69" s="1" t="n">
        <v>46196</v>
      </c>
      <c r="E69" s="1" t="n">
        <v>46271</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33997-2026</t>
        </is>
      </c>
      <c r="B70" t="inlineStr">
        <is>
          <t>avverkningsanmälan</t>
        </is>
      </c>
      <c r="C70" t="inlineStr">
        <is>
          <t>Föryngringsavverkning</t>
        </is>
      </c>
      <c r="D70" s="1" t="n">
        <v>46252</v>
      </c>
      <c r="E70" s="1" t="n">
        <v>46271</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31185-2026</t>
        </is>
      </c>
      <c r="B71" t="inlineStr">
        <is>
          <t>avverkningsanmälan</t>
        </is>
      </c>
      <c r="C71" t="inlineStr">
        <is>
          <t>Föryngringsavverkning</t>
        </is>
      </c>
      <c r="D71" s="1" t="n">
        <v>46217</v>
      </c>
      <c r="E71" s="1" t="n">
        <v>46271</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46271</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35482-2026</t>
        </is>
      </c>
      <c r="B73" t="inlineStr">
        <is>
          <t>avverkningsanmälan</t>
        </is>
      </c>
      <c r="C73" t="inlineStr">
        <is>
          <t>Föryngringsavverkning</t>
        </is>
      </c>
      <c r="D73" s="1" t="n">
        <v>46262</v>
      </c>
      <c r="E73" s="1" t="n">
        <v>46271</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46271</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46271</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46271</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46271</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46271</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46271</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46271</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46271</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46271</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46271</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46271</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17179-2025</t>
        </is>
      </c>
      <c r="B85" t="inlineStr">
        <is>
          <t>avverkningsanmälan</t>
        </is>
      </c>
      <c r="C85" t="inlineStr">
        <is>
          <t>Föryngringsavverkning</t>
        </is>
      </c>
      <c r="D85" s="1" t="n">
        <v>45755</v>
      </c>
      <c r="E85" s="1" t="n">
        <v>46271</v>
      </c>
      <c r="F85" t="inlineStr">
        <is>
          <t>GÄVLEBORGS LÄN</t>
        </is>
      </c>
      <c r="G85" t="inlineStr">
        <is>
          <t>HOFORS</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35498-2024</t>
        </is>
      </c>
      <c r="B86" t="inlineStr">
        <is>
          <t>avverkningsanmälan</t>
        </is>
      </c>
      <c r="C86" t="inlineStr">
        <is>
          <t>Föryngringsavverkning</t>
        </is>
      </c>
      <c r="D86" s="1" t="n">
        <v>45531</v>
      </c>
      <c r="E86" s="1" t="n">
        <v>46271</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6929-2023</t>
        </is>
      </c>
      <c r="B87" t="inlineStr">
        <is>
          <t>avverkningsanmälan</t>
        </is>
      </c>
      <c r="C87" t="inlineStr">
        <is>
          <t>Föryngringsavverkning</t>
        </is>
      </c>
      <c r="D87" s="1" t="n">
        <v>44967</v>
      </c>
      <c r="E87" s="1" t="n">
        <v>46271</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33978-2024</t>
        </is>
      </c>
      <c r="B88" t="inlineStr">
        <is>
          <t>avverkningsanmälan</t>
        </is>
      </c>
      <c r="C88" t="inlineStr">
        <is>
          <t>Föryngringsavverkning</t>
        </is>
      </c>
      <c r="D88" s="1" t="n">
        <v>45523</v>
      </c>
      <c r="E88" s="1" t="n">
        <v>46271</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33984-2024</t>
        </is>
      </c>
      <c r="B89" t="inlineStr">
        <is>
          <t>avverkningsanmälan</t>
        </is>
      </c>
      <c r="C89" t="inlineStr">
        <is>
          <t>Föryngringsavverkning</t>
        </is>
      </c>
      <c r="D89" s="1" t="n">
        <v>45523</v>
      </c>
      <c r="E89" s="1" t="n">
        <v>46271</v>
      </c>
      <c r="F89" t="inlineStr">
        <is>
          <t>GÄVLEBORGS LÄN</t>
        </is>
      </c>
      <c r="G89" t="inlineStr">
        <is>
          <t>HOFORS</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46271</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46271</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46271</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46271</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46271</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51337-2023</t>
        </is>
      </c>
      <c r="B95" t="inlineStr">
        <is>
          <t>avverkningsanmälan</t>
        </is>
      </c>
      <c r="C95" t="inlineStr">
        <is>
          <t>Föryngringsavverkning</t>
        </is>
      </c>
      <c r="D95" s="1" t="n">
        <v>45219</v>
      </c>
      <c r="E95" s="1" t="n">
        <v>46271</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46271</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11813-2024</t>
        </is>
      </c>
      <c r="B97" t="inlineStr">
        <is>
          <t>avverkningsanmälan</t>
        </is>
      </c>
      <c r="C97" t="inlineStr">
        <is>
          <t>Föryngringsavverkning</t>
        </is>
      </c>
      <c r="D97" s="1" t="n">
        <v>45376</v>
      </c>
      <c r="E97" s="1" t="n">
        <v>46271</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53517-2024</t>
        </is>
      </c>
      <c r="B98" t="inlineStr">
        <is>
          <t>avverkningsanmälan</t>
        </is>
      </c>
      <c r="C98" t="inlineStr">
        <is>
          <t>Föryngringsavverkning</t>
        </is>
      </c>
      <c r="D98" s="1" t="n">
        <v>45614</v>
      </c>
      <c r="E98" s="1" t="n">
        <v>46271</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46271</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58240-2021</t>
        </is>
      </c>
      <c r="B100" t="inlineStr">
        <is>
          <t>avverkningsanmälan</t>
        </is>
      </c>
      <c r="C100" t="inlineStr">
        <is>
          <t>Föryngringsavverkning</t>
        </is>
      </c>
      <c r="D100" s="1" t="n">
        <v>44487</v>
      </c>
      <c r="E100" s="1" t="n">
        <v>46271</v>
      </c>
      <c r="F100" t="inlineStr">
        <is>
          <t>GÄVLEBORGS LÄN</t>
        </is>
      </c>
      <c r="G100" t="inlineStr">
        <is>
          <t>HOFORS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46271</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13471-2024</t>
        </is>
      </c>
      <c r="B102" t="inlineStr">
        <is>
          <t>avverkningsanmälan</t>
        </is>
      </c>
      <c r="C102" t="inlineStr">
        <is>
          <t>Föryngringsavverkning</t>
        </is>
      </c>
      <c r="D102" s="1" t="n">
        <v>45387</v>
      </c>
      <c r="E102" s="1" t="n">
        <v>46271</v>
      </c>
      <c r="F102" t="inlineStr">
        <is>
          <t>GÄVLEBORGS LÄN</t>
        </is>
      </c>
      <c r="G102" t="inlineStr">
        <is>
          <t>HOFORS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659-2026</t>
        </is>
      </c>
      <c r="B103" t="inlineStr">
        <is>
          <t>avverkningsanmälan</t>
        </is>
      </c>
      <c r="C103" t="inlineStr">
        <is>
          <t>Föryngringsavverkning</t>
        </is>
      </c>
      <c r="D103" s="1" t="n">
        <v>46029</v>
      </c>
      <c r="E103" s="1" t="n">
        <v>46271</v>
      </c>
      <c r="F103" t="inlineStr">
        <is>
          <t>GÄVLEBORGS LÄN</t>
        </is>
      </c>
      <c r="G103" t="inlineStr">
        <is>
          <t>HOFORS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692-2026</t>
        </is>
      </c>
      <c r="B104" t="inlineStr">
        <is>
          <t>avverkningsanmälan</t>
        </is>
      </c>
      <c r="C104" t="inlineStr">
        <is>
          <t>Föryngringsavverkning</t>
        </is>
      </c>
      <c r="D104" s="1" t="n">
        <v>46029</v>
      </c>
      <c r="E104" s="1" t="n">
        <v>46271</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11953-2025</t>
        </is>
      </c>
      <c r="B105" t="inlineStr">
        <is>
          <t>avverkningsanmälan</t>
        </is>
      </c>
      <c r="C105" t="inlineStr">
        <is>
          <t>Föryngringsavverkning</t>
        </is>
      </c>
      <c r="D105" s="1" t="n">
        <v>45728</v>
      </c>
      <c r="E105" s="1" t="n">
        <v>46271</v>
      </c>
      <c r="F105" t="inlineStr">
        <is>
          <t>GÄVLEBORGS LÄN</t>
        </is>
      </c>
      <c r="G105" t="inlineStr">
        <is>
          <t>HOFORS</t>
        </is>
      </c>
      <c r="H105" t="inlineStr">
        <is>
          <t>Sveaskog</t>
        </is>
      </c>
      <c r="I105" t="n">
        <v>34.8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40407-2025</t>
        </is>
      </c>
      <c r="B106" t="inlineStr">
        <is>
          <t>avverkningsanmälan</t>
        </is>
      </c>
      <c r="C106" t="inlineStr">
        <is>
          <t>Avverkning för att bevara och utveckla /försöksver</t>
        </is>
      </c>
      <c r="D106" s="1" t="n">
        <v>45895</v>
      </c>
      <c r="E106" s="1" t="n">
        <v>46271</v>
      </c>
      <c r="F106" t="inlineStr">
        <is>
          <t>GÄVLEBORGS LÄN</t>
        </is>
      </c>
      <c r="G106" t="inlineStr">
        <is>
          <t>HOFORS</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46271</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37680-2022</t>
        </is>
      </c>
      <c r="B108" t="inlineStr">
        <is>
          <t>avverkningsanmälan</t>
        </is>
      </c>
      <c r="C108" t="inlineStr">
        <is>
          <t>Föryngringsavverkning</t>
        </is>
      </c>
      <c r="D108" s="1" t="n">
        <v>44810</v>
      </c>
      <c r="E108" s="1" t="n">
        <v>46271</v>
      </c>
      <c r="F108" t="inlineStr">
        <is>
          <t>GÄVLEBORGS LÄN</t>
        </is>
      </c>
      <c r="G108" t="inlineStr">
        <is>
          <t>HOFORS</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26302-2025</t>
        </is>
      </c>
      <c r="B109" t="inlineStr">
        <is>
          <t>avverkningsanmälan</t>
        </is>
      </c>
      <c r="C109" t="inlineStr">
        <is>
          <t>Avverkning för annat ändamål</t>
        </is>
      </c>
      <c r="D109" s="1" t="n">
        <v>45805</v>
      </c>
      <c r="E109" s="1" t="n">
        <v>46271</v>
      </c>
      <c r="F109" t="inlineStr">
        <is>
          <t>GÄVLEBORGS LÄN</t>
        </is>
      </c>
      <c r="G109" t="inlineStr">
        <is>
          <t>HOFORS</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57632-2021</t>
        </is>
      </c>
      <c r="B110" t="inlineStr">
        <is>
          <t>avverkningsanmälan</t>
        </is>
      </c>
      <c r="C110" t="inlineStr">
        <is>
          <t>Föryngringsavverkning</t>
        </is>
      </c>
      <c r="D110" s="1" t="n">
        <v>44484</v>
      </c>
      <c r="E110" s="1" t="n">
        <v>46271</v>
      </c>
      <c r="F110" t="inlineStr">
        <is>
          <t>GÄVLEBORGS LÄN</t>
        </is>
      </c>
      <c r="G110" t="inlineStr">
        <is>
          <t>HOFORS</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58373-2023</t>
        </is>
      </c>
      <c r="B111" t="inlineStr">
        <is>
          <t>avverkningsanmälan</t>
        </is>
      </c>
      <c r="C111" t="inlineStr">
        <is>
          <t>Föryngringsavverkning</t>
        </is>
      </c>
      <c r="D111" s="1" t="n">
        <v>45250</v>
      </c>
      <c r="E111" s="1" t="n">
        <v>46271</v>
      </c>
      <c r="F111" t="inlineStr">
        <is>
          <t>GÄVLEBORGS LÄN</t>
        </is>
      </c>
      <c r="G111" t="inlineStr">
        <is>
          <t>HOFORS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41020-2023</t>
        </is>
      </c>
      <c r="B112" t="inlineStr">
        <is>
          <t>avverkningsanmälan</t>
        </is>
      </c>
      <c r="C112" t="inlineStr">
        <is>
          <t>Föryngringsavverkning</t>
        </is>
      </c>
      <c r="D112" s="1" t="n">
        <v>45173</v>
      </c>
      <c r="E112" s="1" t="n">
        <v>46271</v>
      </c>
      <c r="F112" t="inlineStr">
        <is>
          <t>GÄVLEBORGS LÄN</t>
        </is>
      </c>
      <c r="G112" t="inlineStr">
        <is>
          <t>HOFORS</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837-2026</t>
        </is>
      </c>
      <c r="B113" t="inlineStr">
        <is>
          <t>avverkningsanmälan</t>
        </is>
      </c>
      <c r="C113" t="inlineStr">
        <is>
          <t>Föryngringsavverkning</t>
        </is>
      </c>
      <c r="D113" s="1" t="n">
        <v>46030</v>
      </c>
      <c r="E113" s="1" t="n">
        <v>46271</v>
      </c>
      <c r="F113" t="inlineStr">
        <is>
          <t>GÄVLEBORGS LÄN</t>
        </is>
      </c>
      <c r="G113" t="inlineStr">
        <is>
          <t>HOFORS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892-2026</t>
        </is>
      </c>
      <c r="B114" t="inlineStr">
        <is>
          <t>avverkningsanmälan</t>
        </is>
      </c>
      <c r="C114" t="inlineStr">
        <is>
          <t>Föryngringsavverkning</t>
        </is>
      </c>
      <c r="D114" s="1" t="n">
        <v>46030</v>
      </c>
      <c r="E114" s="1" t="n">
        <v>46271</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31471-2025</t>
        </is>
      </c>
      <c r="B115" t="inlineStr">
        <is>
          <t>avverkningsanmälan</t>
        </is>
      </c>
      <c r="C115" t="inlineStr">
        <is>
          <t>Föryngringsavverkning</t>
        </is>
      </c>
      <c r="D115" s="1" t="n">
        <v>45833</v>
      </c>
      <c r="E115" s="1" t="n">
        <v>46271</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32299-2025</t>
        </is>
      </c>
      <c r="B116" t="inlineStr">
        <is>
          <t>avverkningsanmälan</t>
        </is>
      </c>
      <c r="C116" t="inlineStr">
        <is>
          <t>Föryngringsavverkning</t>
        </is>
      </c>
      <c r="D116" s="1" t="n">
        <v>45835</v>
      </c>
      <c r="E116" s="1" t="n">
        <v>46271</v>
      </c>
      <c r="F116" t="inlineStr">
        <is>
          <t>GÄVLEBORGS LÄN</t>
        </is>
      </c>
      <c r="G116" t="inlineStr">
        <is>
          <t>HOFORS</t>
        </is>
      </c>
      <c r="H116" t="inlineStr">
        <is>
          <t>Bergvik skog väst AB</t>
        </is>
      </c>
      <c r="I116" t="n">
        <v>12.8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44356-2023</t>
        </is>
      </c>
      <c r="B117" t="inlineStr">
        <is>
          <t>avverkningsanmälan</t>
        </is>
      </c>
      <c r="C117" t="inlineStr">
        <is>
          <t>Föryngringsavverkning</t>
        </is>
      </c>
      <c r="D117" s="1" t="n">
        <v>45188</v>
      </c>
      <c r="E117" s="1" t="n">
        <v>46271</v>
      </c>
      <c r="F117" t="inlineStr">
        <is>
          <t>GÄVLEBORGS LÄN</t>
        </is>
      </c>
      <c r="G117" t="inlineStr">
        <is>
          <t>HOFORS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46271</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13744-2023</t>
        </is>
      </c>
      <c r="B119" t="inlineStr">
        <is>
          <t>avverkningsanmälan</t>
        </is>
      </c>
      <c r="C119" t="inlineStr">
        <is>
          <t>Föryngringsavverkning</t>
        </is>
      </c>
      <c r="D119" s="1" t="n">
        <v>45007</v>
      </c>
      <c r="E119" s="1" t="n">
        <v>46271</v>
      </c>
      <c r="F119" t="inlineStr">
        <is>
          <t>GÄVLEBORGS LÄN</t>
        </is>
      </c>
      <c r="G119" t="inlineStr">
        <is>
          <t>HOFORS</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46271</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8510-2023</t>
        </is>
      </c>
      <c r="B121" t="inlineStr">
        <is>
          <t>avverkningsanmälan</t>
        </is>
      </c>
      <c r="C121" t="inlineStr">
        <is>
          <t>Föryngringsavverkning</t>
        </is>
      </c>
      <c r="D121" s="1" t="n">
        <v>44977</v>
      </c>
      <c r="E121" s="1" t="n">
        <v>46271</v>
      </c>
      <c r="F121" t="inlineStr">
        <is>
          <t>GÄVLEBORGS LÄN</t>
        </is>
      </c>
      <c r="G121" t="inlineStr">
        <is>
          <t>HOFORS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46271</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46271</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46271</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46271</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46271</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46271</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46271</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48612-2025</t>
        </is>
      </c>
      <c r="B129" t="inlineStr">
        <is>
          <t>avverkningsanmälan</t>
        </is>
      </c>
      <c r="C129" t="inlineStr">
        <is>
          <t>Föryngringsavverkning</t>
        </is>
      </c>
      <c r="D129" s="1" t="n">
        <v>45935</v>
      </c>
      <c r="E129" s="1" t="n">
        <v>46271</v>
      </c>
      <c r="F129" t="inlineStr">
        <is>
          <t>GÄVLEBORGS LÄN</t>
        </is>
      </c>
      <c r="G129" t="inlineStr">
        <is>
          <t>HOFORS</t>
        </is>
      </c>
      <c r="H129" t="inlineStr">
        <is>
          <t>Bergvik skog väst AB</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2546-2026</t>
        </is>
      </c>
      <c r="B130" t="inlineStr">
        <is>
          <t>avverkningsanmälan</t>
        </is>
      </c>
      <c r="C130" t="inlineStr">
        <is>
          <t>Föryngringsavverkning</t>
        </is>
      </c>
      <c r="D130" s="1" t="n">
        <v>46037</v>
      </c>
      <c r="E130" s="1" t="n">
        <v>46271</v>
      </c>
      <c r="F130" t="inlineStr">
        <is>
          <t>GÄVLEBORGS LÄN</t>
        </is>
      </c>
      <c r="G130" t="inlineStr">
        <is>
          <t>HOFORS</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2220-2026</t>
        </is>
      </c>
      <c r="B131" t="inlineStr">
        <is>
          <t>avverkningsanmälan</t>
        </is>
      </c>
      <c r="C131" t="inlineStr">
        <is>
          <t>Föryngringsavverkning</t>
        </is>
      </c>
      <c r="D131" s="1" t="n">
        <v>46036</v>
      </c>
      <c r="E131" s="1" t="n">
        <v>46271</v>
      </c>
      <c r="F131" t="inlineStr">
        <is>
          <t>GÄVLEBORGS LÄN</t>
        </is>
      </c>
      <c r="G131" t="inlineStr">
        <is>
          <t>HOFORS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36349-2025</t>
        </is>
      </c>
      <c r="B132" t="inlineStr">
        <is>
          <t>avverkningsanmälan</t>
        </is>
      </c>
      <c r="C132" t="inlineStr">
        <is>
          <t>Föryngringsavverkning</t>
        </is>
      </c>
      <c r="D132" s="1" t="n">
        <v>45868</v>
      </c>
      <c r="E132" s="1" t="n">
        <v>46271</v>
      </c>
      <c r="F132" t="inlineStr">
        <is>
          <t>GÄVLEBORGS LÄN</t>
        </is>
      </c>
      <c r="G132" t="inlineStr">
        <is>
          <t>HOFORS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46271</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47495-2024</t>
        </is>
      </c>
      <c r="B134" t="inlineStr">
        <is>
          <t>avverkningsanmälan</t>
        </is>
      </c>
      <c r="C134" t="inlineStr">
        <is>
          <t>Föryngringsavverkning</t>
        </is>
      </c>
      <c r="D134" s="1" t="n">
        <v>45587</v>
      </c>
      <c r="E134" s="1" t="n">
        <v>46271</v>
      </c>
      <c r="F134" t="inlineStr">
        <is>
          <t>GÄVLEBORGS LÄN</t>
        </is>
      </c>
      <c r="G134" t="inlineStr">
        <is>
          <t>HOFORS</t>
        </is>
      </c>
      <c r="H134" t="inlineStr">
        <is>
          <t>Sveaskog</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3615-2026</t>
        </is>
      </c>
      <c r="B135" t="inlineStr">
        <is>
          <t>avverkningsanmälan</t>
        </is>
      </c>
      <c r="C135" t="inlineStr">
        <is>
          <t>Föryngringsavverkning</t>
        </is>
      </c>
      <c r="D135" s="1" t="n">
        <v>46042</v>
      </c>
      <c r="E135" s="1" t="n">
        <v>46271</v>
      </c>
      <c r="F135" t="inlineStr">
        <is>
          <t>GÄVLEBORGS LÄN</t>
        </is>
      </c>
      <c r="G135" t="inlineStr">
        <is>
          <t>HOFORS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30007-2024</t>
        </is>
      </c>
      <c r="B136" t="inlineStr">
        <is>
          <t>avverkningsanmälan</t>
        </is>
      </c>
      <c r="C136" t="inlineStr">
        <is>
          <t>Föryngringsavverkning</t>
        </is>
      </c>
      <c r="D136" s="1" t="n">
        <v>45488</v>
      </c>
      <c r="E136" s="1" t="n">
        <v>46271</v>
      </c>
      <c r="F136" t="inlineStr">
        <is>
          <t>GÄVLEBORGS LÄN</t>
        </is>
      </c>
      <c r="G136" t="inlineStr">
        <is>
          <t>HOFORS</t>
        </is>
      </c>
      <c r="H136" t="inlineStr">
        <is>
          <t>Sveaskog</t>
        </is>
      </c>
      <c r="I136" t="n">
        <v>11.5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30009-2024</t>
        </is>
      </c>
      <c r="B137" t="inlineStr">
        <is>
          <t>avverkningsanmälan</t>
        </is>
      </c>
      <c r="C137" t="inlineStr">
        <is>
          <t>Föryngringsavverkning</t>
        </is>
      </c>
      <c r="D137" s="1" t="n">
        <v>45488</v>
      </c>
      <c r="E137" s="1" t="n">
        <v>46271</v>
      </c>
      <c r="F137" t="inlineStr">
        <is>
          <t>GÄVLEBORGS LÄN</t>
        </is>
      </c>
      <c r="G137" t="inlineStr">
        <is>
          <t>HOFORS</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37444-2025</t>
        </is>
      </c>
      <c r="B138" t="inlineStr">
        <is>
          <t>avverkningsanmälan</t>
        </is>
      </c>
      <c r="C138" t="inlineStr">
        <is>
          <t>Föryngringsavverkning</t>
        </is>
      </c>
      <c r="D138" s="1" t="n">
        <v>45877</v>
      </c>
      <c r="E138" s="1" t="n">
        <v>46271</v>
      </c>
      <c r="F138" t="inlineStr">
        <is>
          <t>GÄVLEBORGS LÄN</t>
        </is>
      </c>
      <c r="G138" t="inlineStr">
        <is>
          <t>HOFORS</t>
        </is>
      </c>
      <c r="H138" t="inlineStr">
        <is>
          <t>Sveaskog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37763-2023</t>
        </is>
      </c>
      <c r="B139" t="inlineStr">
        <is>
          <t>avverkningsanmälan</t>
        </is>
      </c>
      <c r="C139" t="inlineStr">
        <is>
          <t>Föryngringsavverkning</t>
        </is>
      </c>
      <c r="D139" s="1" t="n">
        <v>45156</v>
      </c>
      <c r="E139" s="1" t="n">
        <v>46271</v>
      </c>
      <c r="F139" t="inlineStr">
        <is>
          <t>GÄVLEBORGS LÄN</t>
        </is>
      </c>
      <c r="G139" t="inlineStr">
        <is>
          <t>HOFORS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52693-2025</t>
        </is>
      </c>
      <c r="B140" t="inlineStr">
        <is>
          <t>avverkningsanmälan</t>
        </is>
      </c>
      <c r="C140" t="inlineStr">
        <is>
          <t>Föryngringsavverkning</t>
        </is>
      </c>
      <c r="D140" s="1" t="n">
        <v>45956</v>
      </c>
      <c r="E140" s="1" t="n">
        <v>46271</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35505-2024</t>
        </is>
      </c>
      <c r="B141" t="inlineStr">
        <is>
          <t>avverkningsanmälan</t>
        </is>
      </c>
      <c r="C141" t="inlineStr">
        <is>
          <t>Föryngringsavverkning</t>
        </is>
      </c>
      <c r="D141" s="1" t="n">
        <v>45531</v>
      </c>
      <c r="E141" s="1" t="n">
        <v>46271</v>
      </c>
      <c r="F141" t="inlineStr">
        <is>
          <t>GÄVLEBORGS LÄN</t>
        </is>
      </c>
      <c r="G141" t="inlineStr">
        <is>
          <t>HOFORS</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5549-2026</t>
        </is>
      </c>
      <c r="B142" t="inlineStr">
        <is>
          <t>avverkningsanmälan</t>
        </is>
      </c>
      <c r="C142" t="inlineStr">
        <is>
          <t>Föryngringsavverkning</t>
        </is>
      </c>
      <c r="D142" s="1" t="n">
        <v>46050</v>
      </c>
      <c r="E142" s="1" t="n">
        <v>46271</v>
      </c>
      <c r="F142" t="inlineStr">
        <is>
          <t>GÄVLEBORGS LÄN</t>
        </is>
      </c>
      <c r="G142" t="inlineStr">
        <is>
          <t>HOFORS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30229-2024</t>
        </is>
      </c>
      <c r="B143" t="inlineStr">
        <is>
          <t>avverkningsanmälan</t>
        </is>
      </c>
      <c r="C143" t="inlineStr">
        <is>
          <t>Föryngringsavverkning</t>
        </is>
      </c>
      <c r="D143" s="1" t="n">
        <v>45490</v>
      </c>
      <c r="E143" s="1" t="n">
        <v>46271</v>
      </c>
      <c r="F143" t="inlineStr">
        <is>
          <t>GÄVLEBORGS LÄN</t>
        </is>
      </c>
      <c r="G143" t="inlineStr">
        <is>
          <t>HOFORS</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2612-2025</t>
        </is>
      </c>
      <c r="B144" t="inlineStr">
        <is>
          <t>avverkningsanmälan</t>
        </is>
      </c>
      <c r="C144" t="inlineStr">
        <is>
          <t>Avverkning för annat ändamål</t>
        </is>
      </c>
      <c r="D144" s="1" t="n">
        <v>45674</v>
      </c>
      <c r="E144" s="1" t="n">
        <v>46271</v>
      </c>
      <c r="F144" t="inlineStr">
        <is>
          <t>GÄVLEBORGS LÄN</t>
        </is>
      </c>
      <c r="G144" t="inlineStr">
        <is>
          <t>HOFORS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23376-2024</t>
        </is>
      </c>
      <c r="B145" t="inlineStr">
        <is>
          <t>avverkningsanmälan</t>
        </is>
      </c>
      <c r="C145" t="inlineStr">
        <is>
          <t>Föryngringsavverkning</t>
        </is>
      </c>
      <c r="D145" s="1" t="n">
        <v>45453</v>
      </c>
      <c r="E145" s="1" t="n">
        <v>46271</v>
      </c>
      <c r="F145" t="inlineStr">
        <is>
          <t>GÄVLEBORGS LÄN</t>
        </is>
      </c>
      <c r="G145" t="inlineStr">
        <is>
          <t>HOFORS</t>
        </is>
      </c>
      <c r="H145" t="inlineStr">
        <is>
          <t>Sveaskog</t>
        </is>
      </c>
      <c r="I145" t="n">
        <v>10.8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58955-2023</t>
        </is>
      </c>
      <c r="B146" t="inlineStr">
        <is>
          <t>avverkningsanmälan</t>
        </is>
      </c>
      <c r="C146" t="inlineStr">
        <is>
          <t>Föryngringsavverkning</t>
        </is>
      </c>
      <c r="D146" s="1" t="n">
        <v>45252</v>
      </c>
      <c r="E146" s="1" t="n">
        <v>46271</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54876-2025</t>
        </is>
      </c>
      <c r="B147" t="inlineStr">
        <is>
          <t>avverkningsanmälan</t>
        </is>
      </c>
      <c r="C147" t="inlineStr">
        <is>
          <t>Föryngringsavverkning</t>
        </is>
      </c>
      <c r="D147" s="1" t="n">
        <v>45967</v>
      </c>
      <c r="E147" s="1" t="n">
        <v>46271</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54877-2025</t>
        </is>
      </c>
      <c r="B148" t="inlineStr">
        <is>
          <t>avverkningsanmälan</t>
        </is>
      </c>
      <c r="C148" t="inlineStr">
        <is>
          <t>Föryngringsavverkning</t>
        </is>
      </c>
      <c r="D148" s="1" t="n">
        <v>45967</v>
      </c>
      <c r="E148" s="1" t="n">
        <v>46271</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54874-2025</t>
        </is>
      </c>
      <c r="B149" t="inlineStr">
        <is>
          <t>avverkningsanmälan</t>
        </is>
      </c>
      <c r="C149" t="inlineStr">
        <is>
          <t>Föryngringsavverkning</t>
        </is>
      </c>
      <c r="D149" s="1" t="n">
        <v>45967</v>
      </c>
      <c r="E149" s="1" t="n">
        <v>46271</v>
      </c>
      <c r="F149" t="inlineStr">
        <is>
          <t>GÄVLEBORGS LÄN</t>
        </is>
      </c>
      <c r="G149" t="inlineStr">
        <is>
          <t>HOFORS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46271</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6963-2024</t>
        </is>
      </c>
      <c r="B151" t="inlineStr">
        <is>
          <t>avverkningsanmälan</t>
        </is>
      </c>
      <c r="C151" t="inlineStr">
        <is>
          <t>Föryngringsavverkning</t>
        </is>
      </c>
      <c r="D151" s="1" t="n">
        <v>45343</v>
      </c>
      <c r="E151" s="1" t="n">
        <v>46271</v>
      </c>
      <c r="F151" t="inlineStr">
        <is>
          <t>GÄVLEBORGS LÄN</t>
        </is>
      </c>
      <c r="G151" t="inlineStr">
        <is>
          <t>HOFORS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46271</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46271</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7580-2026</t>
        </is>
      </c>
      <c r="B154" t="inlineStr">
        <is>
          <t>avverkningsanmälan</t>
        </is>
      </c>
      <c r="C154" t="inlineStr">
        <is>
          <t>Föryngringsavverkning</t>
        </is>
      </c>
      <c r="D154" s="1" t="n">
        <v>46061</v>
      </c>
      <c r="E154" s="1" t="n">
        <v>46271</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4566-2026</t>
        </is>
      </c>
      <c r="B155" t="inlineStr">
        <is>
          <t>avverkningsanmälan</t>
        </is>
      </c>
      <c r="C155" t="inlineStr">
        <is>
          <t>Föryngringsavverkning</t>
        </is>
      </c>
      <c r="D155" s="1" t="n">
        <v>46047</v>
      </c>
      <c r="E155" s="1" t="n">
        <v>46271</v>
      </c>
      <c r="F155" t="inlineStr">
        <is>
          <t>GÄVLEBORGS LÄN</t>
        </is>
      </c>
      <c r="G155" t="inlineStr">
        <is>
          <t>HOFORS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57596-2025</t>
        </is>
      </c>
      <c r="B156" t="inlineStr">
        <is>
          <t>avverkningsanmälan</t>
        </is>
      </c>
      <c r="C156" t="inlineStr">
        <is>
          <t>Föryngringsavverkning</t>
        </is>
      </c>
      <c r="D156" s="1" t="n">
        <v>45980</v>
      </c>
      <c r="E156" s="1" t="n">
        <v>46271</v>
      </c>
      <c r="F156" t="inlineStr">
        <is>
          <t>GÄVLEBORGS LÄN</t>
        </is>
      </c>
      <c r="G156" t="inlineStr">
        <is>
          <t>HOFORS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57593-2025</t>
        </is>
      </c>
      <c r="B157" t="inlineStr">
        <is>
          <t>avverkningsanmälan</t>
        </is>
      </c>
      <c r="C157" t="inlineStr">
        <is>
          <t>Föryngringsavverkning</t>
        </is>
      </c>
      <c r="D157" s="1" t="n">
        <v>45980</v>
      </c>
      <c r="E157" s="1" t="n">
        <v>46271</v>
      </c>
      <c r="F157" t="inlineStr">
        <is>
          <t>GÄVLEBORGS LÄN</t>
        </is>
      </c>
      <c r="G157" t="inlineStr">
        <is>
          <t>HOFORS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57595-2025</t>
        </is>
      </c>
      <c r="B158" t="inlineStr">
        <is>
          <t>avverkningsanmälan</t>
        </is>
      </c>
      <c r="C158" t="inlineStr">
        <is>
          <t>Föryngringsavverkning</t>
        </is>
      </c>
      <c r="D158" s="1" t="n">
        <v>45980</v>
      </c>
      <c r="E158" s="1" t="n">
        <v>46271</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57594-2025</t>
        </is>
      </c>
      <c r="B159" t="inlineStr">
        <is>
          <t>avverkningsanmälan</t>
        </is>
      </c>
      <c r="C159" t="inlineStr">
        <is>
          <t>Föryngringsavverkning</t>
        </is>
      </c>
      <c r="D159" s="1" t="n">
        <v>45980</v>
      </c>
      <c r="E159" s="1" t="n">
        <v>46271</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36763-2024</t>
        </is>
      </c>
      <c r="B160" t="inlineStr">
        <is>
          <t>avverkningsanmälan</t>
        </is>
      </c>
      <c r="C160" t="inlineStr">
        <is>
          <t>Föryngringsavverkning</t>
        </is>
      </c>
      <c r="D160" s="1" t="n">
        <v>45538</v>
      </c>
      <c r="E160" s="1" t="n">
        <v>46271</v>
      </c>
      <c r="F160" t="inlineStr">
        <is>
          <t>GÄVLEBORGS LÄN</t>
        </is>
      </c>
      <c r="G160" t="inlineStr">
        <is>
          <t>HOFORS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21027-2024</t>
        </is>
      </c>
      <c r="B161" t="inlineStr">
        <is>
          <t>avverkningsanmälan</t>
        </is>
      </c>
      <c r="C161" t="inlineStr">
        <is>
          <t>Föryngringsavverkning</t>
        </is>
      </c>
      <c r="D161" s="1" t="n">
        <v>45439</v>
      </c>
      <c r="E161" s="1" t="n">
        <v>46271</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21028-2024</t>
        </is>
      </c>
      <c r="B162" t="inlineStr">
        <is>
          <t>avverkningsanmälan</t>
        </is>
      </c>
      <c r="C162" t="inlineStr">
        <is>
          <t>Föryngringsavverkning</t>
        </is>
      </c>
      <c r="D162" s="1" t="n">
        <v>45439</v>
      </c>
      <c r="E162" s="1" t="n">
        <v>46271</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46271</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58805-2025</t>
        </is>
      </c>
      <c r="B164" t="inlineStr">
        <is>
          <t>avverkningsanmälan</t>
        </is>
      </c>
      <c r="C164" t="inlineStr">
        <is>
          <t>Föryngringsavverkning</t>
        </is>
      </c>
      <c r="D164" s="1" t="n">
        <v>45986</v>
      </c>
      <c r="E164" s="1" t="n">
        <v>46271</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16371-2022</t>
        </is>
      </c>
      <c r="B165" t="inlineStr">
        <is>
          <t>avverkningsanmälan</t>
        </is>
      </c>
      <c r="C165" t="inlineStr">
        <is>
          <t>Föryngringsavverkning</t>
        </is>
      </c>
      <c r="D165" s="1" t="n">
        <v>44671</v>
      </c>
      <c r="E165" s="1" t="n">
        <v>46271</v>
      </c>
      <c r="F165" t="inlineStr">
        <is>
          <t>GÄVLEBORGS LÄN</t>
        </is>
      </c>
      <c r="G165" t="inlineStr">
        <is>
          <t>HOFORS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57751-2024</t>
        </is>
      </c>
      <c r="B166" t="inlineStr">
        <is>
          <t>avverkningsanmälan</t>
        </is>
      </c>
      <c r="C166" t="inlineStr">
        <is>
          <t>Föryngringsavverkning</t>
        </is>
      </c>
      <c r="D166" s="1" t="n">
        <v>45630</v>
      </c>
      <c r="E166" s="1" t="n">
        <v>46271</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11462-2026</t>
        </is>
      </c>
      <c r="B167" t="inlineStr">
        <is>
          <t>avverkningsanmälan</t>
        </is>
      </c>
      <c r="C167" t="inlineStr">
        <is>
          <t>Föryngringsavverkning</t>
        </is>
      </c>
      <c r="D167" s="1" t="n">
        <v>46083</v>
      </c>
      <c r="E167" s="1" t="n">
        <v>46271</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46271</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2915-2025</t>
        </is>
      </c>
      <c r="B169" t="inlineStr">
        <is>
          <t>avverkningsanmälan</t>
        </is>
      </c>
      <c r="C169" t="inlineStr">
        <is>
          <t>Föryngringsavverkning</t>
        </is>
      </c>
      <c r="D169" s="1" t="n">
        <v>45677</v>
      </c>
      <c r="E169" s="1" t="n">
        <v>46271</v>
      </c>
      <c r="F169" t="inlineStr">
        <is>
          <t>GÄVLEBORGS LÄN</t>
        </is>
      </c>
      <c r="G169" t="inlineStr">
        <is>
          <t>HOFORS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46271</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61642-2025</t>
        </is>
      </c>
      <c r="B171" t="inlineStr">
        <is>
          <t>avverkningsanmälan</t>
        </is>
      </c>
      <c r="C171" t="inlineStr">
        <is>
          <t>Föryngringsavverkning</t>
        </is>
      </c>
      <c r="D171" s="1" t="n">
        <v>46002</v>
      </c>
      <c r="E171" s="1" t="n">
        <v>46271</v>
      </c>
      <c r="F171" t="inlineStr">
        <is>
          <t>GÄVLEBORGS LÄN</t>
        </is>
      </c>
      <c r="G171" t="inlineStr">
        <is>
          <t>HOFORS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46271</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46271</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46271</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12803-2026</t>
        </is>
      </c>
      <c r="B175" t="inlineStr">
        <is>
          <t>avverkningsanmälan</t>
        </is>
      </c>
      <c r="C175" t="inlineStr">
        <is>
          <t>Föryngringsavverkning</t>
        </is>
      </c>
      <c r="D175" s="1" t="n">
        <v>46092</v>
      </c>
      <c r="E175" s="1" t="n">
        <v>46271</v>
      </c>
      <c r="F175" t="inlineStr">
        <is>
          <t>GÄVLEBORGS LÄN</t>
        </is>
      </c>
      <c r="G175" t="inlineStr">
        <is>
          <t>HOFORS</t>
        </is>
      </c>
      <c r="H175" t="inlineStr">
        <is>
          <t>Bergvik skog öst AB</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10161-2023</t>
        </is>
      </c>
      <c r="B176" t="inlineStr">
        <is>
          <t>avverkningsanmälan</t>
        </is>
      </c>
      <c r="C176" t="inlineStr">
        <is>
          <t>Föryngringsavverkning</t>
        </is>
      </c>
      <c r="D176" s="1" t="n">
        <v>44986</v>
      </c>
      <c r="E176" s="1" t="n">
        <v>46271</v>
      </c>
      <c r="F176" t="inlineStr">
        <is>
          <t>GÄVLEBORGS LÄN</t>
        </is>
      </c>
      <c r="G176" t="inlineStr">
        <is>
          <t>HOFORS</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15810-2026</t>
        </is>
      </c>
      <c r="B177" t="inlineStr">
        <is>
          <t>avverkningsanmälan</t>
        </is>
      </c>
      <c r="C177" t="inlineStr">
        <is>
          <t>Föryngringsavverkning</t>
        </is>
      </c>
      <c r="D177" s="1" t="n">
        <v>46107</v>
      </c>
      <c r="E177" s="1" t="n">
        <v>46271</v>
      </c>
      <c r="F177" t="inlineStr">
        <is>
          <t>GÄVLEBORGS LÄN</t>
        </is>
      </c>
      <c r="G177" t="inlineStr">
        <is>
          <t>HOFORS</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34232-2023</t>
        </is>
      </c>
      <c r="B178" t="inlineStr">
        <is>
          <t>avverkningsanmälan</t>
        </is>
      </c>
      <c r="C178" t="inlineStr">
        <is>
          <t>Föryngringsavverkning</t>
        </is>
      </c>
      <c r="D178" s="1" t="n">
        <v>45127</v>
      </c>
      <c r="E178" s="1" t="n">
        <v>46271</v>
      </c>
      <c r="F178" t="inlineStr">
        <is>
          <t>GÄVLEBORGS LÄN</t>
        </is>
      </c>
      <c r="G178" t="inlineStr">
        <is>
          <t>HOFORS</t>
        </is>
      </c>
      <c r="H178" t="inlineStr">
        <is>
          <t>Bergvik skog väst AB</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17170-2026</t>
        </is>
      </c>
      <c r="B179" t="inlineStr">
        <is>
          <t>avverkningsanmälan</t>
        </is>
      </c>
      <c r="C179" t="inlineStr">
        <is>
          <t>Föryngringsavverkning</t>
        </is>
      </c>
      <c r="D179" s="1" t="n">
        <v>46115</v>
      </c>
      <c r="E179" s="1" t="n">
        <v>46271</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8321-2026</t>
        </is>
      </c>
      <c r="B180" t="inlineStr">
        <is>
          <t>avverkningsanmälan</t>
        </is>
      </c>
      <c r="C180" t="inlineStr">
        <is>
          <t>Föryngringsavverkning</t>
        </is>
      </c>
      <c r="D180" s="1" t="n">
        <v>46064</v>
      </c>
      <c r="E180" s="1" t="n">
        <v>46271</v>
      </c>
      <c r="F180" t="inlineStr">
        <is>
          <t>GÄVLEBORGS LÄN</t>
        </is>
      </c>
      <c r="G180" t="inlineStr">
        <is>
          <t>HOFORS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22226-2024</t>
        </is>
      </c>
      <c r="B181" t="inlineStr">
        <is>
          <t>avverkningsanmälan</t>
        </is>
      </c>
      <c r="C181" t="inlineStr">
        <is>
          <t>Föryngringsavverkning</t>
        </is>
      </c>
      <c r="D181" s="1" t="n">
        <v>45446</v>
      </c>
      <c r="E181" s="1" t="n">
        <v>46271</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37693-2023</t>
        </is>
      </c>
      <c r="B182" t="inlineStr">
        <is>
          <t>avverkningsanmälan</t>
        </is>
      </c>
      <c r="C182" t="inlineStr">
        <is>
          <t>Föryngringsavverkning</t>
        </is>
      </c>
      <c r="D182" s="1" t="n">
        <v>45159</v>
      </c>
      <c r="E182" s="1" t="n">
        <v>46271</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46271</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46271</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19401-2026</t>
        </is>
      </c>
      <c r="B185" t="inlineStr">
        <is>
          <t>avverkningsanmälan</t>
        </is>
      </c>
      <c r="C185" t="inlineStr">
        <is>
          <t>Föryngringsavverkning</t>
        </is>
      </c>
      <c r="D185" s="1" t="n">
        <v>46133</v>
      </c>
      <c r="E185" s="1" t="n">
        <v>46271</v>
      </c>
      <c r="F185" t="inlineStr">
        <is>
          <t>GÄVLEBORGS LÄN</t>
        </is>
      </c>
      <c r="G185" t="inlineStr">
        <is>
          <t>HOFORS</t>
        </is>
      </c>
      <c r="H185" t="inlineStr">
        <is>
          <t>Bergvik skog öst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64036-2025</t>
        </is>
      </c>
      <c r="B186" t="inlineStr">
        <is>
          <t>avverkningsanmälan</t>
        </is>
      </c>
      <c r="C186" t="inlineStr">
        <is>
          <t>Föryngringsavverkning</t>
        </is>
      </c>
      <c r="D186" s="1" t="n">
        <v>46021</v>
      </c>
      <c r="E186" s="1" t="n">
        <v>46271</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46271</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46271</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11277-2026</t>
        </is>
      </c>
      <c r="B189" t="inlineStr">
        <is>
          <t>avverkningsanmälan</t>
        </is>
      </c>
      <c r="C189" t="inlineStr">
        <is>
          <t>Föryngringsavverkning</t>
        </is>
      </c>
      <c r="D189" s="1" t="n">
        <v>46080</v>
      </c>
      <c r="E189" s="1" t="n">
        <v>46271</v>
      </c>
      <c r="F189" t="inlineStr">
        <is>
          <t>GÄVLEBORGS LÄN</t>
        </is>
      </c>
      <c r="G189" t="inlineStr">
        <is>
          <t>HOFORS</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25474-2024</t>
        </is>
      </c>
      <c r="B190" t="inlineStr">
        <is>
          <t>avverkningsanmälan</t>
        </is>
      </c>
      <c r="C190" t="inlineStr">
        <is>
          <t>Föryngringsavverkning</t>
        </is>
      </c>
      <c r="D190" s="1" t="n">
        <v>45463</v>
      </c>
      <c r="E190" s="1" t="n">
        <v>46271</v>
      </c>
      <c r="F190" t="inlineStr">
        <is>
          <t>GÄVLEBORGS LÄN</t>
        </is>
      </c>
      <c r="G190" t="inlineStr">
        <is>
          <t>HOFORS</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46271</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12922-2026</t>
        </is>
      </c>
      <c r="B192" t="inlineStr">
        <is>
          <t>avverkningsanmälan</t>
        </is>
      </c>
      <c r="C192" t="inlineStr">
        <is>
          <t>Föryngringsavverkning</t>
        </is>
      </c>
      <c r="D192" s="1" t="n">
        <v>46092</v>
      </c>
      <c r="E192" s="1" t="n">
        <v>46271</v>
      </c>
      <c r="F192" t="inlineStr">
        <is>
          <t>GÄVLEBORGS LÄN</t>
        </is>
      </c>
      <c r="G192" t="inlineStr">
        <is>
          <t>HOFORS</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57400-2024</t>
        </is>
      </c>
      <c r="B193" t="inlineStr">
        <is>
          <t>avverkningsanmälan</t>
        </is>
      </c>
      <c r="C193" t="inlineStr">
        <is>
          <t>Föryngringsavverkning</t>
        </is>
      </c>
      <c r="D193" s="1" t="n">
        <v>45629</v>
      </c>
      <c r="E193" s="1" t="n">
        <v>46271</v>
      </c>
      <c r="F193" t="inlineStr">
        <is>
          <t>GÄVLEBORGS LÄN</t>
        </is>
      </c>
      <c r="G193" t="inlineStr">
        <is>
          <t>HOFORS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11871-2026</t>
        </is>
      </c>
      <c r="B194" t="inlineStr">
        <is>
          <t>avverkningsanmälan</t>
        </is>
      </c>
      <c r="C194" t="inlineStr">
        <is>
          <t>Föryngringsavverkning</t>
        </is>
      </c>
      <c r="D194" s="1" t="n">
        <v>46085</v>
      </c>
      <c r="E194" s="1" t="n">
        <v>46271</v>
      </c>
      <c r="F194" t="inlineStr">
        <is>
          <t>GÄVLEBORGS LÄN</t>
        </is>
      </c>
      <c r="G194" t="inlineStr">
        <is>
          <t>HOFORS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47459-2023</t>
        </is>
      </c>
      <c r="B195" t="inlineStr">
        <is>
          <t>avverkningsanmälan</t>
        </is>
      </c>
      <c r="C195" t="inlineStr">
        <is>
          <t>Föryngringsavverkning</t>
        </is>
      </c>
      <c r="D195" s="1" t="n">
        <v>45202</v>
      </c>
      <c r="E195" s="1" t="n">
        <v>46271</v>
      </c>
      <c r="F195" t="inlineStr">
        <is>
          <t>GÄVLEBORGS LÄN</t>
        </is>
      </c>
      <c r="G195" t="inlineStr">
        <is>
          <t>HOFORS</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46271</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46271</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35136-2023</t>
        </is>
      </c>
      <c r="B198" t="inlineStr">
        <is>
          <t>avverkningsanmälan</t>
        </is>
      </c>
      <c r="C198" t="inlineStr">
        <is>
          <t>Föryngringsavverkning</t>
        </is>
      </c>
      <c r="D198" s="1" t="n">
        <v>45145</v>
      </c>
      <c r="E198" s="1" t="n">
        <v>46271</v>
      </c>
      <c r="F198" t="inlineStr">
        <is>
          <t>GÄVLEBORGS LÄN</t>
        </is>
      </c>
      <c r="G198" t="inlineStr">
        <is>
          <t>HOFORS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38251-2022</t>
        </is>
      </c>
      <c r="B199" t="inlineStr">
        <is>
          <t>avverkningsanmälan</t>
        </is>
      </c>
      <c r="C199" t="inlineStr">
        <is>
          <t>Föryngringsavverkning</t>
        </is>
      </c>
      <c r="D199" s="1" t="n">
        <v>44812</v>
      </c>
      <c r="E199" s="1" t="n">
        <v>46271</v>
      </c>
      <c r="F199" t="inlineStr">
        <is>
          <t>GÄVLEBORGS LÄN</t>
        </is>
      </c>
      <c r="G199" t="inlineStr">
        <is>
          <t>HOFORS</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46271</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31611-2023</t>
        </is>
      </c>
      <c r="B201" t="inlineStr">
        <is>
          <t>avverkningsanmälan</t>
        </is>
      </c>
      <c r="C201" t="inlineStr">
        <is>
          <t>Avverkning för att bevara och utveckla /försöksver</t>
        </is>
      </c>
      <c r="D201" s="1" t="n">
        <v>45117</v>
      </c>
      <c r="E201" s="1" t="n">
        <v>46271</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3391-2026</t>
        </is>
      </c>
      <c r="B202" t="inlineStr">
        <is>
          <t>avverkningsanmälan</t>
        </is>
      </c>
      <c r="C202" t="inlineStr">
        <is>
          <t>Föryngringsavverkning</t>
        </is>
      </c>
      <c r="D202" s="1" t="n">
        <v>46042</v>
      </c>
      <c r="E202" s="1" t="n">
        <v>46271</v>
      </c>
      <c r="F202" t="inlineStr">
        <is>
          <t>GÄVLEBORGS LÄN</t>
        </is>
      </c>
      <c r="G202" t="inlineStr">
        <is>
          <t>HOFORS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23545-2025</t>
        </is>
      </c>
      <c r="B203" t="inlineStr">
        <is>
          <t>avverkningsanmälan</t>
        </is>
      </c>
      <c r="C203" t="inlineStr">
        <is>
          <t>Avverkning för annat ändamål</t>
        </is>
      </c>
      <c r="D203" s="1" t="n">
        <v>45792</v>
      </c>
      <c r="E203" s="1" t="n">
        <v>46271</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3614-2026</t>
        </is>
      </c>
      <c r="B204" t="inlineStr">
        <is>
          <t>avverkningsanmälan</t>
        </is>
      </c>
      <c r="C204" t="inlineStr">
        <is>
          <t>Föryngringsavverkning</t>
        </is>
      </c>
      <c r="D204" s="1" t="n">
        <v>46042</v>
      </c>
      <c r="E204" s="1" t="n">
        <v>46271</v>
      </c>
      <c r="F204" t="inlineStr">
        <is>
          <t>GÄVLEBORGS LÄN</t>
        </is>
      </c>
      <c r="G204" t="inlineStr">
        <is>
          <t>HOFORS</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46271</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46271</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23326-2026</t>
        </is>
      </c>
      <c r="B207" t="inlineStr">
        <is>
          <t>avverkningsanmälan</t>
        </is>
      </c>
      <c r="C207" t="inlineStr">
        <is>
          <t>Föryngringsavverkning</t>
        </is>
      </c>
      <c r="D207" s="1" t="n">
        <v>46162</v>
      </c>
      <c r="E207" s="1" t="n">
        <v>46271</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31645-2024</t>
        </is>
      </c>
      <c r="B208" t="inlineStr">
        <is>
          <t>avverkningsanmälan</t>
        </is>
      </c>
      <c r="C208" t="inlineStr">
        <is>
          <t>Föryngringsavverkning</t>
        </is>
      </c>
      <c r="D208" s="1" t="n">
        <v>45506</v>
      </c>
      <c r="E208" s="1" t="n">
        <v>46271</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46271</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23833-2026</t>
        </is>
      </c>
      <c r="B210" t="inlineStr">
        <is>
          <t>avverkningsanmälan</t>
        </is>
      </c>
      <c r="C210" t="inlineStr">
        <is>
          <t>Föryngringsavverkning</t>
        </is>
      </c>
      <c r="D210" s="1" t="n">
        <v>46167</v>
      </c>
      <c r="E210" s="1" t="n">
        <v>46271</v>
      </c>
      <c r="F210" t="inlineStr">
        <is>
          <t>GÄVLEBORGS LÄN</t>
        </is>
      </c>
      <c r="G210" t="inlineStr">
        <is>
          <t>HOFORS</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58787-2021</t>
        </is>
      </c>
      <c r="B211" t="inlineStr">
        <is>
          <t>avverkningsanmälan</t>
        </is>
      </c>
      <c r="C211" t="inlineStr">
        <is>
          <t>Föryngringsavverkning</t>
        </is>
      </c>
      <c r="D211" s="1" t="n">
        <v>44489</v>
      </c>
      <c r="E211" s="1" t="n">
        <v>46271</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24988-2023</t>
        </is>
      </c>
      <c r="B212" t="inlineStr">
        <is>
          <t>avverkningsanmälan</t>
        </is>
      </c>
      <c r="C212" t="inlineStr">
        <is>
          <t>Föryngringsavverkning</t>
        </is>
      </c>
      <c r="D212" s="1" t="n">
        <v>45085</v>
      </c>
      <c r="E212" s="1" t="n">
        <v>46271</v>
      </c>
      <c r="F212" t="inlineStr">
        <is>
          <t>GÄVLEBORGS LÄN</t>
        </is>
      </c>
      <c r="G212" t="inlineStr">
        <is>
          <t>HOFORS</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24258-2026</t>
        </is>
      </c>
      <c r="B213" t="inlineStr">
        <is>
          <t>avverkningsanmälan</t>
        </is>
      </c>
      <c r="C213" t="inlineStr">
        <is>
          <t>Föryngringsavverkning</t>
        </is>
      </c>
      <c r="D213" s="1" t="n">
        <v>46169</v>
      </c>
      <c r="E213" s="1" t="n">
        <v>46271</v>
      </c>
      <c r="F213" t="inlineStr">
        <is>
          <t>GÄVLEBORGS LÄN</t>
        </is>
      </c>
      <c r="G213" t="inlineStr">
        <is>
          <t>HOFORS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24342-2026</t>
        </is>
      </c>
      <c r="B214" t="inlineStr">
        <is>
          <t>avverkningsanmälan</t>
        </is>
      </c>
      <c r="C214" t="inlineStr">
        <is>
          <t>Avverkning för annat ändamål</t>
        </is>
      </c>
      <c r="D214" s="1" t="n">
        <v>46169</v>
      </c>
      <c r="E214" s="1" t="n">
        <v>46271</v>
      </c>
      <c r="F214" t="inlineStr">
        <is>
          <t>GÄVLEBORGS LÄN</t>
        </is>
      </c>
      <c r="G214" t="inlineStr">
        <is>
          <t>HOFORS</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13473-2024</t>
        </is>
      </c>
      <c r="B215" t="inlineStr">
        <is>
          <t>avverkningsanmälan</t>
        </is>
      </c>
      <c r="C215" t="inlineStr">
        <is>
          <t>Föryngringsavverkning</t>
        </is>
      </c>
      <c r="D215" s="1" t="n">
        <v>45387</v>
      </c>
      <c r="E215" s="1" t="n">
        <v>46271</v>
      </c>
      <c r="F215" t="inlineStr">
        <is>
          <t>GÄVLEBORGS LÄN</t>
        </is>
      </c>
      <c r="G215" t="inlineStr">
        <is>
          <t>HOFORS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28133-2024</t>
        </is>
      </c>
      <c r="B216" t="inlineStr">
        <is>
          <t>avverkningsanmälan</t>
        </is>
      </c>
      <c r="C216" t="inlineStr">
        <is>
          <t>Föryngringsavverkning</t>
        </is>
      </c>
      <c r="D216" s="1" t="n">
        <v>45476</v>
      </c>
      <c r="E216" s="1" t="n">
        <v>46271</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37744-2022</t>
        </is>
      </c>
      <c r="B217" t="inlineStr">
        <is>
          <t>avverkningsanmälan</t>
        </is>
      </c>
      <c r="C217" t="inlineStr">
        <is>
          <t>Föryngringsavverkning</t>
        </is>
      </c>
      <c r="D217" s="1" t="n">
        <v>44810</v>
      </c>
      <c r="E217" s="1" t="n">
        <v>46271</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26515-2026</t>
        </is>
      </c>
      <c r="B218" t="inlineStr">
        <is>
          <t>avverkningsanmälan</t>
        </is>
      </c>
      <c r="C218" t="inlineStr">
        <is>
          <t>Avverkning för annat ändamål</t>
        </is>
      </c>
      <c r="D218" s="1" t="n">
        <v>46183</v>
      </c>
      <c r="E218" s="1" t="n">
        <v>46271</v>
      </c>
      <c r="F218" t="inlineStr">
        <is>
          <t>GÄVLEBORGS LÄN</t>
        </is>
      </c>
      <c r="G218" t="inlineStr">
        <is>
          <t>HOFORS</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10602-2022</t>
        </is>
      </c>
      <c r="B219" t="inlineStr">
        <is>
          <t>avverkningsanmälan</t>
        </is>
      </c>
      <c r="C219" t="inlineStr">
        <is>
          <t>Föryngringsavverkning</t>
        </is>
      </c>
      <c r="D219" s="1" t="n">
        <v>44624</v>
      </c>
      <c r="E219" s="1" t="n">
        <v>46271</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47531-2021</t>
        </is>
      </c>
      <c r="B220" t="inlineStr">
        <is>
          <t>avverkningsanmälan</t>
        </is>
      </c>
      <c r="C220" t="inlineStr">
        <is>
          <t>Föryngringsavverkning</t>
        </is>
      </c>
      <c r="D220" s="1" t="n">
        <v>44447</v>
      </c>
      <c r="E220" s="1" t="n">
        <v>46271</v>
      </c>
      <c r="F220" t="inlineStr">
        <is>
          <t>GÄVLEBORGS LÄN</t>
        </is>
      </c>
      <c r="G220" t="inlineStr">
        <is>
          <t>HOFORS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26516-2026</t>
        </is>
      </c>
      <c r="B221" t="inlineStr">
        <is>
          <t>avverkningsanmälan</t>
        </is>
      </c>
      <c r="C221" t="inlineStr">
        <is>
          <t>Avverkning för annat ändamål</t>
        </is>
      </c>
      <c r="D221" s="1" t="n">
        <v>46183</v>
      </c>
      <c r="E221" s="1" t="n">
        <v>46271</v>
      </c>
      <c r="F221" t="inlineStr">
        <is>
          <t>GÄVLEBORGS LÄN</t>
        </is>
      </c>
      <c r="G221" t="inlineStr">
        <is>
          <t>HOFORS</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11607-2023</t>
        </is>
      </c>
      <c r="B222" t="inlineStr">
        <is>
          <t>avverkningsanmälan</t>
        </is>
      </c>
      <c r="C222" t="inlineStr">
        <is>
          <t>Föryngringsavverkning</t>
        </is>
      </c>
      <c r="D222" s="1" t="n">
        <v>44994</v>
      </c>
      <c r="E222" s="1" t="n">
        <v>46271</v>
      </c>
      <c r="F222" t="inlineStr">
        <is>
          <t>GÄVLEBORGS LÄN</t>
        </is>
      </c>
      <c r="G222" t="inlineStr">
        <is>
          <t>HOFORS</t>
        </is>
      </c>
      <c r="H222" t="inlineStr">
        <is>
          <t>Övriga statliga verk och myndigheter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28330-2026</t>
        </is>
      </c>
      <c r="B223" t="inlineStr">
        <is>
          <t>avverkningsanmälan</t>
        </is>
      </c>
      <c r="C223" t="inlineStr">
        <is>
          <t>Föryngringsavverkning</t>
        </is>
      </c>
      <c r="D223" s="1" t="n">
        <v>46196</v>
      </c>
      <c r="E223" s="1" t="n">
        <v>46271</v>
      </c>
      <c r="F223" t="inlineStr">
        <is>
          <t>GÄVLEBORGS LÄN</t>
        </is>
      </c>
      <c r="G223" t="inlineStr">
        <is>
          <t>HOFORS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35504-2024</t>
        </is>
      </c>
      <c r="B224" t="inlineStr">
        <is>
          <t>avverkningsanmälan</t>
        </is>
      </c>
      <c r="C224" t="inlineStr">
        <is>
          <t>Föryngringsavverkning</t>
        </is>
      </c>
      <c r="D224" s="1" t="n">
        <v>45531</v>
      </c>
      <c r="E224" s="1" t="n">
        <v>46271</v>
      </c>
      <c r="F224" t="inlineStr">
        <is>
          <t>GÄVLEBORGS LÄN</t>
        </is>
      </c>
      <c r="G224" t="inlineStr">
        <is>
          <t>HOFORS</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28329-2026</t>
        </is>
      </c>
      <c r="B225" t="inlineStr">
        <is>
          <t>avverkningsanmälan</t>
        </is>
      </c>
      <c r="C225" t="inlineStr">
        <is>
          <t>Föryngringsavverkning</t>
        </is>
      </c>
      <c r="D225" s="1" t="n">
        <v>46196</v>
      </c>
      <c r="E225" s="1" t="n">
        <v>46271</v>
      </c>
      <c r="F225" t="inlineStr">
        <is>
          <t>GÄVLEBORGS LÄN</t>
        </is>
      </c>
      <c r="G225" t="inlineStr">
        <is>
          <t>HOFORS</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68079-2021</t>
        </is>
      </c>
      <c r="B226" t="inlineStr">
        <is>
          <t>avverkningsanmälan</t>
        </is>
      </c>
      <c r="C226" t="inlineStr">
        <is>
          <t>Föryngringsavverkning</t>
        </is>
      </c>
      <c r="D226" s="1" t="n">
        <v>44526</v>
      </c>
      <c r="E226" s="1" t="n">
        <v>46271</v>
      </c>
      <c r="F226" t="inlineStr">
        <is>
          <t>GÄVLEBORGS LÄN</t>
        </is>
      </c>
      <c r="G226" t="inlineStr">
        <is>
          <t>HOFORS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6958-2024</t>
        </is>
      </c>
      <c r="B227" t="inlineStr">
        <is>
          <t>avverkningsanmälan</t>
        </is>
      </c>
      <c r="C227" t="inlineStr">
        <is>
          <t>Föryngringsavverkning</t>
        </is>
      </c>
      <c r="D227" s="1" t="n">
        <v>45343</v>
      </c>
      <c r="E227" s="1" t="n">
        <v>46271</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54826-2021</t>
        </is>
      </c>
      <c r="B228" t="inlineStr">
        <is>
          <t>avverkningsanmälan</t>
        </is>
      </c>
      <c r="C228" t="inlineStr">
        <is>
          <t>Föryngringsavverkning</t>
        </is>
      </c>
      <c r="D228" s="1" t="n">
        <v>44473</v>
      </c>
      <c r="E228" s="1" t="n">
        <v>46271</v>
      </c>
      <c r="F228" t="inlineStr">
        <is>
          <t>GÄVLEBORGS LÄN</t>
        </is>
      </c>
      <c r="G228" t="inlineStr">
        <is>
          <t>HOFORS</t>
        </is>
      </c>
      <c r="H228" t="inlineStr">
        <is>
          <t>Bergvik skog väst AB</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29060-2026</t>
        </is>
      </c>
      <c r="B229" t="inlineStr">
        <is>
          <t>avverkningsanmälan</t>
        </is>
      </c>
      <c r="C229" t="inlineStr">
        <is>
          <t>Föryngringsavverkning</t>
        </is>
      </c>
      <c r="D229" s="1" t="n">
        <v>46199</v>
      </c>
      <c r="E229" s="1" t="n">
        <v>46271</v>
      </c>
      <c r="F229" t="inlineStr">
        <is>
          <t>GÄVLEBORGS LÄN</t>
        </is>
      </c>
      <c r="G229" t="inlineStr">
        <is>
          <t>HOFORS</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17185-2025</t>
        </is>
      </c>
      <c r="B230" t="inlineStr">
        <is>
          <t>avverkningsanmälan</t>
        </is>
      </c>
      <c r="C230" t="inlineStr">
        <is>
          <t>Föryngringsavverkning</t>
        </is>
      </c>
      <c r="D230" s="1" t="n">
        <v>45755</v>
      </c>
      <c r="E230" s="1" t="n">
        <v>46271</v>
      </c>
      <c r="F230" t="inlineStr">
        <is>
          <t>GÄVLEBORGS LÄN</t>
        </is>
      </c>
      <c r="G230" t="inlineStr">
        <is>
          <t>HOFORS</t>
        </is>
      </c>
      <c r="H230" t="inlineStr">
        <is>
          <t>Bergvik skog väst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47639-2021</t>
        </is>
      </c>
      <c r="B231" t="inlineStr">
        <is>
          <t>avverkningsanmälan</t>
        </is>
      </c>
      <c r="C231" t="inlineStr">
        <is>
          <t>Föryngringsavverkning</t>
        </is>
      </c>
      <c r="D231" s="1" t="n">
        <v>44448</v>
      </c>
      <c r="E231" s="1" t="n">
        <v>46271</v>
      </c>
      <c r="F231" t="inlineStr">
        <is>
          <t>GÄVLEBORGS LÄN</t>
        </is>
      </c>
      <c r="G231" t="inlineStr">
        <is>
          <t>HOFORS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46271</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36283-2024</t>
        </is>
      </c>
      <c r="B233" t="inlineStr">
        <is>
          <t>avverkningsanmälan</t>
        </is>
      </c>
      <c r="C233" t="inlineStr">
        <is>
          <t>Föryngringsavverkning</t>
        </is>
      </c>
      <c r="D233" s="1" t="n">
        <v>45534</v>
      </c>
      <c r="E233" s="1" t="n">
        <v>46271</v>
      </c>
      <c r="F233" t="inlineStr">
        <is>
          <t>GÄVLEBORGS LÄN</t>
        </is>
      </c>
      <c r="G233" t="inlineStr">
        <is>
          <t>HOFORS</t>
        </is>
      </c>
      <c r="H233" t="inlineStr">
        <is>
          <t>Sveaskog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30638-2026</t>
        </is>
      </c>
      <c r="B234" t="inlineStr">
        <is>
          <t>avverkningsanmälan</t>
        </is>
      </c>
      <c r="C234" t="inlineStr">
        <is>
          <t>Föryngringsavverkning</t>
        </is>
      </c>
      <c r="D234" s="1" t="n">
        <v>46211</v>
      </c>
      <c r="E234" s="1" t="n">
        <v>46271</v>
      </c>
      <c r="F234" t="inlineStr">
        <is>
          <t>GÄVLEBORGS LÄN</t>
        </is>
      </c>
      <c r="G234" t="inlineStr">
        <is>
          <t>HOFORS</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46271</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46271</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34993-2026</t>
        </is>
      </c>
      <c r="B237" t="inlineStr">
        <is>
          <t>avverkningsanmälan</t>
        </is>
      </c>
      <c r="C237" t="inlineStr">
        <is>
          <t>Föryngringsavverkning</t>
        </is>
      </c>
      <c r="D237" s="1" t="n">
        <v>46259</v>
      </c>
      <c r="E237" s="1" t="n">
        <v>46271</v>
      </c>
      <c r="F237" t="inlineStr">
        <is>
          <t>GÄVLEBORGS LÄN</t>
        </is>
      </c>
      <c r="G237" t="inlineStr">
        <is>
          <t>HOFORS</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46271</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46271</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46271</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23666-2025</t>
        </is>
      </c>
      <c r="B241" t="inlineStr">
        <is>
          <t>avverkningsanmälan</t>
        </is>
      </c>
      <c r="C241" t="inlineStr">
        <is>
          <t>Föryngringsavverkning</t>
        </is>
      </c>
      <c r="D241" s="1" t="n">
        <v>45792</v>
      </c>
      <c r="E241" s="1" t="n">
        <v>46271</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35219-2026</t>
        </is>
      </c>
      <c r="B242" t="inlineStr">
        <is>
          <t>avverkningsanmälan</t>
        </is>
      </c>
      <c r="C242" t="inlineStr">
        <is>
          <t>Föryngringsavverkning</t>
        </is>
      </c>
      <c r="D242" s="1" t="n">
        <v>46260</v>
      </c>
      <c r="E242" s="1" t="n">
        <v>46271</v>
      </c>
      <c r="F242" t="inlineStr">
        <is>
          <t>GÄVLEBORGS LÄN</t>
        </is>
      </c>
      <c r="G242" t="inlineStr">
        <is>
          <t>HOFORS</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31315-2026</t>
        </is>
      </c>
      <c r="B243" t="inlineStr">
        <is>
          <t>avverkningsanmälan</t>
        </is>
      </c>
      <c r="C243" t="inlineStr">
        <is>
          <t>Föryngringsavverkning</t>
        </is>
      </c>
      <c r="D243" s="1" t="n">
        <v>46219</v>
      </c>
      <c r="E243" s="1" t="n">
        <v>46271</v>
      </c>
      <c r="F243" t="inlineStr">
        <is>
          <t>GÄVLEBORGS LÄN</t>
        </is>
      </c>
      <c r="G243" t="inlineStr">
        <is>
          <t>HOFORS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36278-2026</t>
        </is>
      </c>
      <c r="B244" t="inlineStr">
        <is>
          <t>avverkningsanmälan</t>
        </is>
      </c>
      <c r="C244" t="inlineStr">
        <is>
          <t>Föryngringsavverkning</t>
        </is>
      </c>
      <c r="D244" s="1" t="n">
        <v>46268</v>
      </c>
      <c r="E244" s="1" t="n">
        <v>46271</v>
      </c>
      <c r="F244" t="inlineStr">
        <is>
          <t>GÄVLEBORGS LÄN</t>
        </is>
      </c>
      <c r="G244" t="inlineStr">
        <is>
          <t>HOFORS</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46271</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46271</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46271</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46271</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46271</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46271</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46271</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46271</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2026-09-06T02:05:18Z</dcterms:created>
  <dcterms:modified xmlns:dcterms="http://purl.org/dc/terms/" xmlns:xsi="http://www.w3.org/2001/XMLSchema-instance" xsi:type="dcterms:W3CDTF">2026-09-06T02:05:19Z</dcterms:modified>
</cp:coreProperties>
</file>