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45362</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45362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45362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45362</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13746-2023</t>
        </is>
      </c>
      <c r="B6" s="1" t="n">
        <v>45007</v>
      </c>
      <c r="C6" s="1" t="n">
        <v>45362</v>
      </c>
      <c r="D6" t="inlineStr">
        <is>
          <t>GÄVLEBORGS LÄN</t>
        </is>
      </c>
      <c r="E6" t="inlineStr">
        <is>
          <t>HOFORS</t>
        </is>
      </c>
      <c r="F6" t="inlineStr">
        <is>
          <t>Övriga statliga verk och myndigheter</t>
        </is>
      </c>
      <c r="G6" t="n">
        <v>4.1</v>
      </c>
      <c r="H6" t="n">
        <v>4</v>
      </c>
      <c r="I6" t="n">
        <v>5</v>
      </c>
      <c r="J6" t="n">
        <v>4</v>
      </c>
      <c r="K6" t="n">
        <v>1</v>
      </c>
      <c r="L6" t="n">
        <v>0</v>
      </c>
      <c r="M6" t="n">
        <v>0</v>
      </c>
      <c r="N6" t="n">
        <v>0</v>
      </c>
      <c r="O6" t="n">
        <v>5</v>
      </c>
      <c r="P6" t="n">
        <v>1</v>
      </c>
      <c r="Q6" t="n">
        <v>12</v>
      </c>
      <c r="R6" s="2" t="inlineStr">
        <is>
          <t>Knärot
Koralltaggsvamp
Orange taggsvamp
Talltita
Ullticka
Brandticka
Bronshjon
Svavelriska
Thomsons trägnagare
Vedticka
Kopparödla
Blåsippa</t>
        </is>
      </c>
      <c r="S6">
        <f>HYPERLINK("https://klasma.github.io/Logging_2104/artfynd/A 13746-2023 artfynd.xlsx", "A 13746-2023")</f>
        <v/>
      </c>
      <c r="T6">
        <f>HYPERLINK("https://klasma.github.io/Logging_2104/kartor/A 13746-2023 karta.png", "A 13746-2023")</f>
        <v/>
      </c>
      <c r="U6">
        <f>HYPERLINK("https://klasma.github.io/Logging_2104/knärot/A 13746-2023 karta knärot.png", "A 13746-2023")</f>
        <v/>
      </c>
      <c r="V6">
        <f>HYPERLINK("https://klasma.github.io/Logging_2104/klagomål/A 13746-2023 FSC-klagomål.docx", "A 13746-2023")</f>
        <v/>
      </c>
      <c r="W6">
        <f>HYPERLINK("https://klasma.github.io/Logging_2104/klagomålsmail/A 13746-2023 FSC-klagomål mail.docx", "A 13746-2023")</f>
        <v/>
      </c>
      <c r="X6">
        <f>HYPERLINK("https://klasma.github.io/Logging_2104/tillsyn/A 13746-2023 tillsynsbegäran.docx", "A 13746-2023")</f>
        <v/>
      </c>
      <c r="Y6">
        <f>HYPERLINK("https://klasma.github.io/Logging_2104/tillsynsmail/A 13746-2023 tillsynsbegäran mail.docx", "A 13746-2023")</f>
        <v/>
      </c>
      <c r="Z6">
        <f>HYPERLINK("https://klasma.github.io/Logging_2104/fåglar/A 13746-2023 prioriterade fågelarter.docx", "A 13746-2023")</f>
        <v/>
      </c>
    </row>
    <row r="7" ht="15" customHeight="1">
      <c r="A7" t="inlineStr">
        <is>
          <t>A 65026-2021</t>
        </is>
      </c>
      <c r="B7" s="1" t="n">
        <v>44512</v>
      </c>
      <c r="C7" s="1" t="n">
        <v>45362</v>
      </c>
      <c r="D7" t="inlineStr">
        <is>
          <t>GÄVLEBORGS LÄN</t>
        </is>
      </c>
      <c r="E7" t="inlineStr">
        <is>
          <t>HOFORS</t>
        </is>
      </c>
      <c r="G7" t="n">
        <v>14.7</v>
      </c>
      <c r="H7" t="n">
        <v>1</v>
      </c>
      <c r="I7" t="n">
        <v>4</v>
      </c>
      <c r="J7" t="n">
        <v>1</v>
      </c>
      <c r="K7" t="n">
        <v>4</v>
      </c>
      <c r="L7" t="n">
        <v>0</v>
      </c>
      <c r="M7" t="n">
        <v>0</v>
      </c>
      <c r="N7" t="n">
        <v>0</v>
      </c>
      <c r="O7" t="n">
        <v>5</v>
      </c>
      <c r="P7" t="n">
        <v>4</v>
      </c>
      <c r="Q7" t="n">
        <v>9</v>
      </c>
      <c r="R7" s="2" t="inlineStr">
        <is>
          <t>Brödtaggsvamp
Knärot
Taggfingersvamp
Vågticka
Gul taggsvamp
Dropptaggsvamp
Granbarkgnagare
Mörk husmossa
Trådticka</t>
        </is>
      </c>
      <c r="S7">
        <f>HYPERLINK("https://klasma.github.io/Logging_2104/artfynd/A 65026-2021 artfynd.xlsx", "A 65026-2021")</f>
        <v/>
      </c>
      <c r="T7">
        <f>HYPERLINK("https://klasma.github.io/Logging_2104/kartor/A 65026-2021 karta.png", "A 65026-2021")</f>
        <v/>
      </c>
      <c r="U7">
        <f>HYPERLINK("https://klasma.github.io/Logging_2104/knärot/A 65026-2021 karta knärot.png", "A 65026-2021")</f>
        <v/>
      </c>
      <c r="V7">
        <f>HYPERLINK("https://klasma.github.io/Logging_2104/klagomål/A 65026-2021 FSC-klagomål.docx", "A 65026-2021")</f>
        <v/>
      </c>
      <c r="W7">
        <f>HYPERLINK("https://klasma.github.io/Logging_2104/klagomålsmail/A 65026-2021 FSC-klagomål mail.docx", "A 65026-2021")</f>
        <v/>
      </c>
      <c r="X7">
        <f>HYPERLINK("https://klasma.github.io/Logging_2104/tillsyn/A 65026-2021 tillsynsbegäran.docx", "A 65026-2021")</f>
        <v/>
      </c>
      <c r="Y7">
        <f>HYPERLINK("https://klasma.github.io/Logging_2104/tillsynsmail/A 65026-2021 tillsynsbegäran mail.docx", "A 65026-2021")</f>
        <v/>
      </c>
    </row>
    <row r="8" ht="15" customHeight="1">
      <c r="A8" t="inlineStr">
        <is>
          <t>A 528-2024</t>
        </is>
      </c>
      <c r="B8" s="1" t="n">
        <v>45299</v>
      </c>
      <c r="C8" s="1" t="n">
        <v>45362</v>
      </c>
      <c r="D8" t="inlineStr">
        <is>
          <t>GÄVLEBORGS LÄN</t>
        </is>
      </c>
      <c r="E8" t="inlineStr">
        <is>
          <t>HOFORS</t>
        </is>
      </c>
      <c r="G8" t="n">
        <v>1.1</v>
      </c>
      <c r="H8" t="n">
        <v>1</v>
      </c>
      <c r="I8" t="n">
        <v>3</v>
      </c>
      <c r="J8" t="n">
        <v>4</v>
      </c>
      <c r="K8" t="n">
        <v>1</v>
      </c>
      <c r="L8" t="n">
        <v>0</v>
      </c>
      <c r="M8" t="n">
        <v>0</v>
      </c>
      <c r="N8" t="n">
        <v>0</v>
      </c>
      <c r="O8" t="n">
        <v>5</v>
      </c>
      <c r="P8" t="n">
        <v>1</v>
      </c>
      <c r="Q8" t="n">
        <v>9</v>
      </c>
      <c r="R8" s="2" t="inlineStr">
        <is>
          <t>Koppartaggsvamp
Flattoppad klubbsvamp
Gultoppig fingersvamp
Svart taggsvamp
Ullticka
Dropptaggsvamp
Fjällig taggsvamp s.str.
Svavelriska
Blåsippa</t>
        </is>
      </c>
      <c r="S8">
        <f>HYPERLINK("https://klasma.github.io/Logging_2104/artfynd/A 528-2024 artfynd.xlsx", "A 528-2024")</f>
        <v/>
      </c>
      <c r="T8">
        <f>HYPERLINK("https://klasma.github.io/Logging_2104/kartor/A 528-2024 karta.png", "A 528-2024")</f>
        <v/>
      </c>
      <c r="V8">
        <f>HYPERLINK("https://klasma.github.io/Logging_2104/klagomål/A 528-2024 FSC-klagomål.docx", "A 528-2024")</f>
        <v/>
      </c>
      <c r="W8">
        <f>HYPERLINK("https://klasma.github.io/Logging_2104/klagomålsmail/A 528-2024 FSC-klagomål mail.docx", "A 528-2024")</f>
        <v/>
      </c>
      <c r="X8">
        <f>HYPERLINK("https://klasma.github.io/Logging_2104/tillsyn/A 528-2024 tillsynsbegäran.docx", "A 528-2024")</f>
        <v/>
      </c>
      <c r="Y8">
        <f>HYPERLINK("https://klasma.github.io/Logging_2104/tillsynsmail/A 528-2024 tillsynsbegäran mail.docx", "A 528-2024")</f>
        <v/>
      </c>
    </row>
    <row r="9" ht="15" customHeight="1">
      <c r="A9" t="inlineStr">
        <is>
          <t>A 35138-2023</t>
        </is>
      </c>
      <c r="B9" s="1" t="n">
        <v>45145</v>
      </c>
      <c r="C9" s="1" t="n">
        <v>45362</v>
      </c>
      <c r="D9" t="inlineStr">
        <is>
          <t>GÄVLEBORGS LÄN</t>
        </is>
      </c>
      <c r="E9" t="inlineStr">
        <is>
          <t>HOFORS</t>
        </is>
      </c>
      <c r="G9" t="n">
        <v>6.5</v>
      </c>
      <c r="H9" t="n">
        <v>1</v>
      </c>
      <c r="I9" t="n">
        <v>1</v>
      </c>
      <c r="J9" t="n">
        <v>5</v>
      </c>
      <c r="K9" t="n">
        <v>2</v>
      </c>
      <c r="L9" t="n">
        <v>0</v>
      </c>
      <c r="M9" t="n">
        <v>0</v>
      </c>
      <c r="N9" t="n">
        <v>0</v>
      </c>
      <c r="O9" t="n">
        <v>7</v>
      </c>
      <c r="P9" t="n">
        <v>2</v>
      </c>
      <c r="Q9" t="n">
        <v>8</v>
      </c>
      <c r="R9" s="2" t="inlineStr">
        <is>
          <t>Flikbålmossa
Knärot
Garnlav
Kortskaftad ärgspik
Nordlig nållav
Vedtrappmossa
Violettgrå tagellav
Rostfläck</t>
        </is>
      </c>
      <c r="S9">
        <f>HYPERLINK("https://klasma.github.io/Logging_2104/artfynd/A 35138-2023 artfynd.xlsx", "A 35138-2023")</f>
        <v/>
      </c>
      <c r="T9">
        <f>HYPERLINK("https://klasma.github.io/Logging_2104/kartor/A 35138-2023 karta.png", "A 35138-2023")</f>
        <v/>
      </c>
      <c r="U9">
        <f>HYPERLINK("https://klasma.github.io/Logging_2104/knärot/A 35138-2023 karta knärot.png", "A 35138-2023")</f>
        <v/>
      </c>
      <c r="V9">
        <f>HYPERLINK("https://klasma.github.io/Logging_2104/klagomål/A 35138-2023 FSC-klagomål.docx", "A 35138-2023")</f>
        <v/>
      </c>
      <c r="W9">
        <f>HYPERLINK("https://klasma.github.io/Logging_2104/klagomålsmail/A 35138-2023 FSC-klagomål mail.docx", "A 35138-2023")</f>
        <v/>
      </c>
      <c r="X9">
        <f>HYPERLINK("https://klasma.github.io/Logging_2104/tillsyn/A 35138-2023 tillsynsbegäran.docx", "A 35138-2023")</f>
        <v/>
      </c>
      <c r="Y9">
        <f>HYPERLINK("https://klasma.github.io/Logging_2104/tillsynsmail/A 35138-2023 tillsynsbegäran mail.docx", "A 35138-2023")</f>
        <v/>
      </c>
    </row>
    <row r="10" ht="15" customHeight="1">
      <c r="A10" t="inlineStr">
        <is>
          <t>A 60420-2023</t>
        </is>
      </c>
      <c r="B10" s="1" t="n">
        <v>45258</v>
      </c>
      <c r="C10" s="1" t="n">
        <v>45362</v>
      </c>
      <c r="D10" t="inlineStr">
        <is>
          <t>GÄVLEBORGS LÄN</t>
        </is>
      </c>
      <c r="E10" t="inlineStr">
        <is>
          <t>HOFORS</t>
        </is>
      </c>
      <c r="G10" t="n">
        <v>6.7</v>
      </c>
      <c r="H10" t="n">
        <v>3</v>
      </c>
      <c r="I10" t="n">
        <v>2</v>
      </c>
      <c r="J10" t="n">
        <v>5</v>
      </c>
      <c r="K10" t="n">
        <v>1</v>
      </c>
      <c r="L10" t="n">
        <v>0</v>
      </c>
      <c r="M10" t="n">
        <v>0</v>
      </c>
      <c r="N10" t="n">
        <v>0</v>
      </c>
      <c r="O10" t="n">
        <v>6</v>
      </c>
      <c r="P10" t="n">
        <v>1</v>
      </c>
      <c r="Q10" t="n">
        <v>8</v>
      </c>
      <c r="R10" s="2" t="inlineStr">
        <is>
          <t>Vågticka
Garnlav
Spillkråka
Talltita
Tretåig hackspett
Ullticka
Vedticka
Vågbandad barkbock</t>
        </is>
      </c>
      <c r="S10">
        <f>HYPERLINK("https://klasma.github.io/Logging_2104/artfynd/A 60420-2023 artfynd.xlsx", "A 60420-2023")</f>
        <v/>
      </c>
      <c r="T10">
        <f>HYPERLINK("https://klasma.github.io/Logging_2104/kartor/A 60420-2023 karta.png", "A 60420-2023")</f>
        <v/>
      </c>
      <c r="V10">
        <f>HYPERLINK("https://klasma.github.io/Logging_2104/klagomål/A 60420-2023 FSC-klagomål.docx", "A 60420-2023")</f>
        <v/>
      </c>
      <c r="W10">
        <f>HYPERLINK("https://klasma.github.io/Logging_2104/klagomålsmail/A 60420-2023 FSC-klagomål mail.docx", "A 60420-2023")</f>
        <v/>
      </c>
      <c r="X10">
        <f>HYPERLINK("https://klasma.github.io/Logging_2104/tillsyn/A 60420-2023 tillsynsbegäran.docx", "A 60420-2023")</f>
        <v/>
      </c>
      <c r="Y10">
        <f>HYPERLINK("https://klasma.github.io/Logging_2104/tillsynsmail/A 60420-2023 tillsynsbegäran mail.docx", "A 60420-2023")</f>
        <v/>
      </c>
      <c r="Z10">
        <f>HYPERLINK("https://klasma.github.io/Logging_2104/fåglar/A 60420-2023 prioriterade fågelarter.docx", "A 60420-2023")</f>
        <v/>
      </c>
    </row>
    <row r="11" ht="15" customHeight="1">
      <c r="A11" t="inlineStr">
        <is>
          <t>A 35610-2023</t>
        </is>
      </c>
      <c r="B11" s="1" t="n">
        <v>45147</v>
      </c>
      <c r="C11" s="1" t="n">
        <v>45362</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45362</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45362</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13750-2023</t>
        </is>
      </c>
      <c r="B14" s="1" t="n">
        <v>45007</v>
      </c>
      <c r="C14" s="1" t="n">
        <v>45362</v>
      </c>
      <c r="D14" t="inlineStr">
        <is>
          <t>GÄVLEBORGS LÄN</t>
        </is>
      </c>
      <c r="E14" t="inlineStr">
        <is>
          <t>HOFORS</t>
        </is>
      </c>
      <c r="F14" t="inlineStr">
        <is>
          <t>Övriga statliga verk och myndigheter</t>
        </is>
      </c>
      <c r="G14" t="n">
        <v>1.1</v>
      </c>
      <c r="H14" t="n">
        <v>1</v>
      </c>
      <c r="I14" t="n">
        <v>2</v>
      </c>
      <c r="J14" t="n">
        <v>3</v>
      </c>
      <c r="K14" t="n">
        <v>0</v>
      </c>
      <c r="L14" t="n">
        <v>0</v>
      </c>
      <c r="M14" t="n">
        <v>0</v>
      </c>
      <c r="N14" t="n">
        <v>0</v>
      </c>
      <c r="O14" t="n">
        <v>3</v>
      </c>
      <c r="P14" t="n">
        <v>0</v>
      </c>
      <c r="Q14" t="n">
        <v>5</v>
      </c>
      <c r="R14" s="2" t="inlineStr">
        <is>
          <t>Gultoppig fingersvamp
Leptoporus mollis
Talltita
Fjällig taggsvamp s.str.
Vedticka</t>
        </is>
      </c>
      <c r="S14">
        <f>HYPERLINK("https://klasma.github.io/Logging_2104/artfynd/A 13750-2023 artfynd.xlsx", "A 13750-2023")</f>
        <v/>
      </c>
      <c r="T14">
        <f>HYPERLINK("https://klasma.github.io/Logging_2104/kartor/A 13750-2023 karta.png", "A 13750-2023")</f>
        <v/>
      </c>
      <c r="V14">
        <f>HYPERLINK("https://klasma.github.io/Logging_2104/klagomål/A 13750-2023 FSC-klagomål.docx", "A 13750-2023")</f>
        <v/>
      </c>
      <c r="W14">
        <f>HYPERLINK("https://klasma.github.io/Logging_2104/klagomålsmail/A 13750-2023 FSC-klagomål mail.docx", "A 13750-2023")</f>
        <v/>
      </c>
      <c r="X14">
        <f>HYPERLINK("https://klasma.github.io/Logging_2104/tillsyn/A 13750-2023 tillsynsbegäran.docx", "A 13750-2023")</f>
        <v/>
      </c>
      <c r="Y14">
        <f>HYPERLINK("https://klasma.github.io/Logging_2104/tillsynsmail/A 13750-2023 tillsynsbegäran mail.docx", "A 13750-2023")</f>
        <v/>
      </c>
      <c r="Z14">
        <f>HYPERLINK("https://klasma.github.io/Logging_2104/fåglar/A 13750-2023 prioriterade fågelarter.docx", "A 13750-2023")</f>
        <v/>
      </c>
    </row>
    <row r="15" ht="15" customHeight="1">
      <c r="A15" t="inlineStr">
        <is>
          <t>A 13740-2023</t>
        </is>
      </c>
      <c r="B15" s="1" t="n">
        <v>45007</v>
      </c>
      <c r="C15" s="1" t="n">
        <v>45362</v>
      </c>
      <c r="D15" t="inlineStr">
        <is>
          <t>GÄVLEBORGS LÄN</t>
        </is>
      </c>
      <c r="E15" t="inlineStr">
        <is>
          <t>HOFORS</t>
        </is>
      </c>
      <c r="F15" t="inlineStr">
        <is>
          <t>Övriga statliga verk och myndigheter</t>
        </is>
      </c>
      <c r="G15" t="n">
        <v>2.7</v>
      </c>
      <c r="H15" t="n">
        <v>2</v>
      </c>
      <c r="I15" t="n">
        <v>1</v>
      </c>
      <c r="J15" t="n">
        <v>3</v>
      </c>
      <c r="K15" t="n">
        <v>1</v>
      </c>
      <c r="L15" t="n">
        <v>0</v>
      </c>
      <c r="M15" t="n">
        <v>0</v>
      </c>
      <c r="N15" t="n">
        <v>0</v>
      </c>
      <c r="O15" t="n">
        <v>4</v>
      </c>
      <c r="P15" t="n">
        <v>1</v>
      </c>
      <c r="Q15" t="n">
        <v>5</v>
      </c>
      <c r="R15" s="2" t="inlineStr">
        <is>
          <t>Knärot
Garnlav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38738-2023</t>
        </is>
      </c>
      <c r="B16" s="1" t="n">
        <v>45163</v>
      </c>
      <c r="C16" s="1" t="n">
        <v>45362</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30590-2019</t>
        </is>
      </c>
      <c r="B17" s="1" t="n">
        <v>43635</v>
      </c>
      <c r="C17" s="1" t="n">
        <v>45362</v>
      </c>
      <c r="D17" t="inlineStr">
        <is>
          <t>GÄVLEBORGS LÄN</t>
        </is>
      </c>
      <c r="E17" t="inlineStr">
        <is>
          <t>HOFORS</t>
        </is>
      </c>
      <c r="F17" t="inlineStr">
        <is>
          <t>Sveaskog</t>
        </is>
      </c>
      <c r="G17" t="n">
        <v>7.2</v>
      </c>
      <c r="H17" t="n">
        <v>2</v>
      </c>
      <c r="I17" t="n">
        <v>1</v>
      </c>
      <c r="J17" t="n">
        <v>1</v>
      </c>
      <c r="K17" t="n">
        <v>1</v>
      </c>
      <c r="L17" t="n">
        <v>0</v>
      </c>
      <c r="M17" t="n">
        <v>0</v>
      </c>
      <c r="N17" t="n">
        <v>0</v>
      </c>
      <c r="O17" t="n">
        <v>2</v>
      </c>
      <c r="P17" t="n">
        <v>1</v>
      </c>
      <c r="Q17" t="n">
        <v>3</v>
      </c>
      <c r="R17" s="2" t="inlineStr">
        <is>
          <t>Knärot
Kortskaftad ärgspik
Plattlummer</t>
        </is>
      </c>
      <c r="S17">
        <f>HYPERLINK("https://klasma.github.io/Logging_2104/artfynd/A 30590-2019 artfynd.xlsx", "A 30590-2019")</f>
        <v/>
      </c>
      <c r="T17">
        <f>HYPERLINK("https://klasma.github.io/Logging_2104/kartor/A 30590-2019 karta.png", "A 30590-2019")</f>
        <v/>
      </c>
      <c r="U17">
        <f>HYPERLINK("https://klasma.github.io/Logging_2104/knärot/A 30590-2019 karta knärot.png", "A 30590-2019")</f>
        <v/>
      </c>
      <c r="V17">
        <f>HYPERLINK("https://klasma.github.io/Logging_2104/klagomål/A 30590-2019 FSC-klagomål.docx", "A 30590-2019")</f>
        <v/>
      </c>
      <c r="W17">
        <f>HYPERLINK("https://klasma.github.io/Logging_2104/klagomålsmail/A 30590-2019 FSC-klagomål mail.docx", "A 30590-2019")</f>
        <v/>
      </c>
      <c r="X17">
        <f>HYPERLINK("https://klasma.github.io/Logging_2104/tillsyn/A 30590-2019 tillsynsbegäran.docx", "A 30590-2019")</f>
        <v/>
      </c>
      <c r="Y17">
        <f>HYPERLINK("https://klasma.github.io/Logging_2104/tillsynsmail/A 30590-2019 tillsynsbegäran mail.docx", "A 30590-2019")</f>
        <v/>
      </c>
    </row>
    <row r="18" ht="15" customHeight="1">
      <c r="A18" t="inlineStr">
        <is>
          <t>A 10436-2022</t>
        </is>
      </c>
      <c r="B18" s="1" t="n">
        <v>44623</v>
      </c>
      <c r="C18" s="1" t="n">
        <v>45362</v>
      </c>
      <c r="D18" t="inlineStr">
        <is>
          <t>GÄVLEBORGS LÄN</t>
        </is>
      </c>
      <c r="E18" t="inlineStr">
        <is>
          <t>HOFORS</t>
        </is>
      </c>
      <c r="G18" t="n">
        <v>6.3</v>
      </c>
      <c r="H18" t="n">
        <v>1</v>
      </c>
      <c r="I18" t="n">
        <v>2</v>
      </c>
      <c r="J18" t="n">
        <v>0</v>
      </c>
      <c r="K18" t="n">
        <v>1</v>
      </c>
      <c r="L18" t="n">
        <v>0</v>
      </c>
      <c r="M18" t="n">
        <v>0</v>
      </c>
      <c r="N18" t="n">
        <v>0</v>
      </c>
      <c r="O18" t="n">
        <v>1</v>
      </c>
      <c r="P18" t="n">
        <v>1</v>
      </c>
      <c r="Q18" t="n">
        <v>3</v>
      </c>
      <c r="R18" s="2" t="inlineStr">
        <is>
          <t>Knärot
Björksplintborre
Vedticka</t>
        </is>
      </c>
      <c r="S18">
        <f>HYPERLINK("https://klasma.github.io/Logging_2104/artfynd/A 10436-2022 artfynd.xlsx", "A 10436-2022")</f>
        <v/>
      </c>
      <c r="T18">
        <f>HYPERLINK("https://klasma.github.io/Logging_2104/kartor/A 10436-2022 karta.png", "A 10436-2022")</f>
        <v/>
      </c>
      <c r="U18">
        <f>HYPERLINK("https://klasma.github.io/Logging_2104/knärot/A 10436-2022 karta knärot.png", "A 10436-2022")</f>
        <v/>
      </c>
      <c r="V18">
        <f>HYPERLINK("https://klasma.github.io/Logging_2104/klagomål/A 10436-2022 FSC-klagomål.docx", "A 10436-2022")</f>
        <v/>
      </c>
      <c r="W18">
        <f>HYPERLINK("https://klasma.github.io/Logging_2104/klagomålsmail/A 10436-2022 FSC-klagomål mail.docx", "A 10436-2022")</f>
        <v/>
      </c>
      <c r="X18">
        <f>HYPERLINK("https://klasma.github.io/Logging_2104/tillsyn/A 10436-2022 tillsynsbegäran.docx", "A 10436-2022")</f>
        <v/>
      </c>
      <c r="Y18">
        <f>HYPERLINK("https://klasma.github.io/Logging_2104/tillsynsmail/A 10436-2022 tillsynsbegäran mail.docx", "A 10436-2022")</f>
        <v/>
      </c>
    </row>
    <row r="19" ht="15" customHeight="1">
      <c r="A19" t="inlineStr">
        <is>
          <t>A 45306-2023</t>
        </is>
      </c>
      <c r="B19" s="1" t="n">
        <v>45191</v>
      </c>
      <c r="C19" s="1" t="n">
        <v>45362</v>
      </c>
      <c r="D19" t="inlineStr">
        <is>
          <t>GÄVLEBORGS LÄN</t>
        </is>
      </c>
      <c r="E19" t="inlineStr">
        <is>
          <t>HOFORS</t>
        </is>
      </c>
      <c r="F19" t="inlineStr">
        <is>
          <t>Sveaskog</t>
        </is>
      </c>
      <c r="G19" t="n">
        <v>2.9</v>
      </c>
      <c r="H19" t="n">
        <v>1</v>
      </c>
      <c r="I19" t="n">
        <v>1</v>
      </c>
      <c r="J19" t="n">
        <v>2</v>
      </c>
      <c r="K19" t="n">
        <v>0</v>
      </c>
      <c r="L19" t="n">
        <v>0</v>
      </c>
      <c r="M19" t="n">
        <v>0</v>
      </c>
      <c r="N19" t="n">
        <v>0</v>
      </c>
      <c r="O19" t="n">
        <v>2</v>
      </c>
      <c r="P19" t="n">
        <v>0</v>
      </c>
      <c r="Q19" t="n">
        <v>3</v>
      </c>
      <c r="R19" s="2" t="inlineStr">
        <is>
          <t>Motaggsvamp
Talltita
Mindre märgborre</t>
        </is>
      </c>
      <c r="S19">
        <f>HYPERLINK("https://klasma.github.io/Logging_2104/artfynd/A 45306-2023 artfynd.xlsx", "A 45306-2023")</f>
        <v/>
      </c>
      <c r="T19">
        <f>HYPERLINK("https://klasma.github.io/Logging_2104/kartor/A 45306-2023 karta.png", "A 45306-2023")</f>
        <v/>
      </c>
      <c r="V19">
        <f>HYPERLINK("https://klasma.github.io/Logging_2104/klagomål/A 45306-2023 FSC-klagomål.docx", "A 45306-2023")</f>
        <v/>
      </c>
      <c r="W19">
        <f>HYPERLINK("https://klasma.github.io/Logging_2104/klagomålsmail/A 45306-2023 FSC-klagomål mail.docx", "A 45306-2023")</f>
        <v/>
      </c>
      <c r="X19">
        <f>HYPERLINK("https://klasma.github.io/Logging_2104/tillsyn/A 45306-2023 tillsynsbegäran.docx", "A 45306-2023")</f>
        <v/>
      </c>
      <c r="Y19">
        <f>HYPERLINK("https://klasma.github.io/Logging_2104/tillsynsmail/A 45306-2023 tillsynsbegäran mail.docx", "A 45306-2023")</f>
        <v/>
      </c>
      <c r="Z19">
        <f>HYPERLINK("https://klasma.github.io/Logging_2104/fåglar/A 45306-2023 prioriterade fågelarter.docx", "A 45306-2023")</f>
        <v/>
      </c>
    </row>
    <row r="20" ht="15" customHeight="1">
      <c r="A20" t="inlineStr">
        <is>
          <t>A 19095-2019</t>
        </is>
      </c>
      <c r="B20" s="1" t="n">
        <v>43564</v>
      </c>
      <c r="C20" s="1" t="n">
        <v>45362</v>
      </c>
      <c r="D20" t="inlineStr">
        <is>
          <t>GÄVLEBORGS LÄN</t>
        </is>
      </c>
      <c r="E20" t="inlineStr">
        <is>
          <t>HOFORS</t>
        </is>
      </c>
      <c r="G20" t="n">
        <v>8</v>
      </c>
      <c r="H20" t="n">
        <v>1</v>
      </c>
      <c r="I20" t="n">
        <v>1</v>
      </c>
      <c r="J20" t="n">
        <v>0</v>
      </c>
      <c r="K20" t="n">
        <v>1</v>
      </c>
      <c r="L20" t="n">
        <v>0</v>
      </c>
      <c r="M20" t="n">
        <v>0</v>
      </c>
      <c r="N20" t="n">
        <v>0</v>
      </c>
      <c r="O20" t="n">
        <v>1</v>
      </c>
      <c r="P20" t="n">
        <v>1</v>
      </c>
      <c r="Q20" t="n">
        <v>2</v>
      </c>
      <c r="R20" s="2" t="inlineStr">
        <is>
          <t>Knärot
Mindre märgborre</t>
        </is>
      </c>
      <c r="S20">
        <f>HYPERLINK("https://klasma.github.io/Logging_2104/artfynd/A 19095-2019 artfynd.xlsx", "A 19095-2019")</f>
        <v/>
      </c>
      <c r="T20">
        <f>HYPERLINK("https://klasma.github.io/Logging_2104/kartor/A 19095-2019 karta.png", "A 19095-2019")</f>
        <v/>
      </c>
      <c r="U20">
        <f>HYPERLINK("https://klasma.github.io/Logging_2104/knärot/A 19095-2019 karta knärot.png", "A 19095-2019")</f>
        <v/>
      </c>
      <c r="V20">
        <f>HYPERLINK("https://klasma.github.io/Logging_2104/klagomål/A 19095-2019 FSC-klagomål.docx", "A 19095-2019")</f>
        <v/>
      </c>
      <c r="W20">
        <f>HYPERLINK("https://klasma.github.io/Logging_2104/klagomålsmail/A 19095-2019 FSC-klagomål mail.docx", "A 19095-2019")</f>
        <v/>
      </c>
      <c r="X20">
        <f>HYPERLINK("https://klasma.github.io/Logging_2104/tillsyn/A 19095-2019 tillsynsbegäran.docx", "A 19095-2019")</f>
        <v/>
      </c>
      <c r="Y20">
        <f>HYPERLINK("https://klasma.github.io/Logging_2104/tillsynsmail/A 19095-2019 tillsynsbegäran mail.docx", "A 19095-2019")</f>
        <v/>
      </c>
    </row>
    <row r="21" ht="15" customHeight="1">
      <c r="A21" t="inlineStr">
        <is>
          <t>A 21731-2019</t>
        </is>
      </c>
      <c r="B21" s="1" t="n">
        <v>43581</v>
      </c>
      <c r="C21" s="1" t="n">
        <v>45362</v>
      </c>
      <c r="D21" t="inlineStr">
        <is>
          <t>GÄVLEBORGS LÄN</t>
        </is>
      </c>
      <c r="E21" t="inlineStr">
        <is>
          <t>HOFORS</t>
        </is>
      </c>
      <c r="F21" t="inlineStr">
        <is>
          <t>Sveaskog</t>
        </is>
      </c>
      <c r="G21" t="n">
        <v>3.8</v>
      </c>
      <c r="H21" t="n">
        <v>2</v>
      </c>
      <c r="I21" t="n">
        <v>1</v>
      </c>
      <c r="J21" t="n">
        <v>0</v>
      </c>
      <c r="K21" t="n">
        <v>0</v>
      </c>
      <c r="L21" t="n">
        <v>0</v>
      </c>
      <c r="M21" t="n">
        <v>0</v>
      </c>
      <c r="N21" t="n">
        <v>0</v>
      </c>
      <c r="O21" t="n">
        <v>0</v>
      </c>
      <c r="P21" t="n">
        <v>0</v>
      </c>
      <c r="Q21" t="n">
        <v>2</v>
      </c>
      <c r="R21" s="2" t="inlineStr">
        <is>
          <t>Tvåblad
Revlummer</t>
        </is>
      </c>
      <c r="S21">
        <f>HYPERLINK("https://klasma.github.io/Logging_2104/artfynd/A 21731-2019 artfynd.xlsx", "A 21731-2019")</f>
        <v/>
      </c>
      <c r="T21">
        <f>HYPERLINK("https://klasma.github.io/Logging_2104/kartor/A 21731-2019 karta.png", "A 21731-2019")</f>
        <v/>
      </c>
      <c r="U21">
        <f>HYPERLINK("https://klasma.github.io/Logging_2104/knärot/A 21731-2019 karta knärot.png", "A 21731-2019")</f>
        <v/>
      </c>
      <c r="V21">
        <f>HYPERLINK("https://klasma.github.io/Logging_2104/klagomål/A 21731-2019 FSC-klagomål.docx", "A 21731-2019")</f>
        <v/>
      </c>
      <c r="W21">
        <f>HYPERLINK("https://klasma.github.io/Logging_2104/klagomålsmail/A 21731-2019 FSC-klagomål mail.docx", "A 21731-2019")</f>
        <v/>
      </c>
      <c r="X21">
        <f>HYPERLINK("https://klasma.github.io/Logging_2104/tillsyn/A 21731-2019 tillsynsbegäran.docx", "A 21731-2019")</f>
        <v/>
      </c>
      <c r="Y21">
        <f>HYPERLINK("https://klasma.github.io/Logging_2104/tillsynsmail/A 21731-2019 tillsynsbegäran mail.docx", "A 21731-2019")</f>
        <v/>
      </c>
    </row>
    <row r="22" ht="15" customHeight="1">
      <c r="A22" t="inlineStr">
        <is>
          <t>A 47483-2021</t>
        </is>
      </c>
      <c r="B22" s="1" t="n">
        <v>44447</v>
      </c>
      <c r="C22" s="1" t="n">
        <v>45362</v>
      </c>
      <c r="D22" t="inlineStr">
        <is>
          <t>GÄVLEBORGS LÄN</t>
        </is>
      </c>
      <c r="E22" t="inlineStr">
        <is>
          <t>HOFORS</t>
        </is>
      </c>
      <c r="G22" t="n">
        <v>6.9</v>
      </c>
      <c r="H22" t="n">
        <v>1</v>
      </c>
      <c r="I22" t="n">
        <v>1</v>
      </c>
      <c r="J22" t="n">
        <v>0</v>
      </c>
      <c r="K22" t="n">
        <v>1</v>
      </c>
      <c r="L22" t="n">
        <v>0</v>
      </c>
      <c r="M22" t="n">
        <v>0</v>
      </c>
      <c r="N22" t="n">
        <v>0</v>
      </c>
      <c r="O22" t="n">
        <v>1</v>
      </c>
      <c r="P22" t="n">
        <v>1</v>
      </c>
      <c r="Q22" t="n">
        <v>2</v>
      </c>
      <c r="R22" s="2" t="inlineStr">
        <is>
          <t>Knärot
Mindre märgborre</t>
        </is>
      </c>
      <c r="S22">
        <f>HYPERLINK("https://klasma.github.io/Logging_2104/artfynd/A 47483-2021 artfynd.xlsx", "A 47483-2021")</f>
        <v/>
      </c>
      <c r="T22">
        <f>HYPERLINK("https://klasma.github.io/Logging_2104/kartor/A 47483-2021 karta.png", "A 47483-2021")</f>
        <v/>
      </c>
      <c r="U22">
        <f>HYPERLINK("https://klasma.github.io/Logging_2104/knärot/A 47483-2021 karta knärot.png", "A 47483-2021")</f>
        <v/>
      </c>
      <c r="V22">
        <f>HYPERLINK("https://klasma.github.io/Logging_2104/klagomål/A 47483-2021 FSC-klagomål.docx", "A 47483-2021")</f>
        <v/>
      </c>
      <c r="W22">
        <f>HYPERLINK("https://klasma.github.io/Logging_2104/klagomålsmail/A 47483-2021 FSC-klagomål mail.docx", "A 47483-2021")</f>
        <v/>
      </c>
      <c r="X22">
        <f>HYPERLINK("https://klasma.github.io/Logging_2104/tillsyn/A 47483-2021 tillsynsbegäran.docx", "A 47483-2021")</f>
        <v/>
      </c>
      <c r="Y22">
        <f>HYPERLINK("https://klasma.github.io/Logging_2104/tillsynsmail/A 47483-2021 tillsynsbegäran mail.docx", "A 47483-2021")</f>
        <v/>
      </c>
    </row>
    <row r="23" ht="15" customHeight="1">
      <c r="A23" t="inlineStr">
        <is>
          <t>A 27216-2022</t>
        </is>
      </c>
      <c r="B23" s="1" t="n">
        <v>44741</v>
      </c>
      <c r="C23" s="1" t="n">
        <v>45362</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Plattlummer
Revlummer</t>
        </is>
      </c>
      <c r="S23">
        <f>HYPERLINK("https://klasma.github.io/Logging_2104/artfynd/A 27216-2022 artfynd.xlsx", "A 27216-2022")</f>
        <v/>
      </c>
      <c r="T23">
        <f>HYPERLINK("https://klasma.github.io/Logging_2104/kartor/A 27216-2022 karta.png", "A 27216-2022")</f>
        <v/>
      </c>
      <c r="V23">
        <f>HYPERLINK("https://klasma.github.io/Logging_2104/klagomål/A 27216-2022 FSC-klagomål.docx", "A 27216-2022")</f>
        <v/>
      </c>
      <c r="W23">
        <f>HYPERLINK("https://klasma.github.io/Logging_2104/klagomålsmail/A 27216-2022 FSC-klagomål mail.docx", "A 27216-2022")</f>
        <v/>
      </c>
      <c r="X23">
        <f>HYPERLINK("https://klasma.github.io/Logging_2104/tillsyn/A 27216-2022 tillsynsbegäran.docx", "A 27216-2022")</f>
        <v/>
      </c>
      <c r="Y23">
        <f>HYPERLINK("https://klasma.github.io/Logging_2104/tillsynsmail/A 27216-2022 tillsynsbegäran mail.docx", "A 27216-2022")</f>
        <v/>
      </c>
    </row>
    <row r="24" ht="15" customHeight="1">
      <c r="A24" t="inlineStr">
        <is>
          <t>A 38855-2022</t>
        </is>
      </c>
      <c r="B24" s="1" t="n">
        <v>44816</v>
      </c>
      <c r="C24" s="1" t="n">
        <v>45362</v>
      </c>
      <c r="D24" t="inlineStr">
        <is>
          <t>GÄVLEBORGS LÄN</t>
        </is>
      </c>
      <c r="E24" t="inlineStr">
        <is>
          <t>HOFORS</t>
        </is>
      </c>
      <c r="G24" t="n">
        <v>7.1</v>
      </c>
      <c r="H24" t="n">
        <v>2</v>
      </c>
      <c r="I24" t="n">
        <v>0</v>
      </c>
      <c r="J24" t="n">
        <v>0</v>
      </c>
      <c r="K24" t="n">
        <v>1</v>
      </c>
      <c r="L24" t="n">
        <v>0</v>
      </c>
      <c r="M24" t="n">
        <v>0</v>
      </c>
      <c r="N24" t="n">
        <v>0</v>
      </c>
      <c r="O24" t="n">
        <v>1</v>
      </c>
      <c r="P24" t="n">
        <v>1</v>
      </c>
      <c r="Q24" t="n">
        <v>2</v>
      </c>
      <c r="R24" s="2" t="inlineStr">
        <is>
          <t>Knärot
Blåsippa</t>
        </is>
      </c>
      <c r="S24">
        <f>HYPERLINK("https://klasma.github.io/Logging_2104/artfynd/A 38855-2022 artfynd.xlsx", "A 38855-2022")</f>
        <v/>
      </c>
      <c r="T24">
        <f>HYPERLINK("https://klasma.github.io/Logging_2104/kartor/A 38855-2022 karta.png", "A 38855-2022")</f>
        <v/>
      </c>
      <c r="U24">
        <f>HYPERLINK("https://klasma.github.io/Logging_2104/knärot/A 38855-2022 karta knärot.png", "A 38855-2022")</f>
        <v/>
      </c>
      <c r="V24">
        <f>HYPERLINK("https://klasma.github.io/Logging_2104/klagomål/A 38855-2022 FSC-klagomål.docx", "A 38855-2022")</f>
        <v/>
      </c>
      <c r="W24">
        <f>HYPERLINK("https://klasma.github.io/Logging_2104/klagomålsmail/A 38855-2022 FSC-klagomål mail.docx", "A 38855-2022")</f>
        <v/>
      </c>
      <c r="X24">
        <f>HYPERLINK("https://klasma.github.io/Logging_2104/tillsyn/A 38855-2022 tillsynsbegäran.docx", "A 38855-2022")</f>
        <v/>
      </c>
      <c r="Y24">
        <f>HYPERLINK("https://klasma.github.io/Logging_2104/tillsynsmail/A 38855-2022 tillsynsbegäran mail.docx", "A 38855-2022")</f>
        <v/>
      </c>
    </row>
    <row r="25" ht="15" customHeight="1">
      <c r="A25" t="inlineStr">
        <is>
          <t>A 38862-2022</t>
        </is>
      </c>
      <c r="B25" s="1" t="n">
        <v>44816</v>
      </c>
      <c r="C25" s="1" t="n">
        <v>45362</v>
      </c>
      <c r="D25" t="inlineStr">
        <is>
          <t>GÄVLEBORGS LÄN</t>
        </is>
      </c>
      <c r="E25" t="inlineStr">
        <is>
          <t>HOFORS</t>
        </is>
      </c>
      <c r="G25" t="n">
        <v>5.1</v>
      </c>
      <c r="H25" t="n">
        <v>1</v>
      </c>
      <c r="I25" t="n">
        <v>1</v>
      </c>
      <c r="J25" t="n">
        <v>1</v>
      </c>
      <c r="K25" t="n">
        <v>0</v>
      </c>
      <c r="L25" t="n">
        <v>0</v>
      </c>
      <c r="M25" t="n">
        <v>0</v>
      </c>
      <c r="N25" t="n">
        <v>0</v>
      </c>
      <c r="O25" t="n">
        <v>1</v>
      </c>
      <c r="P25" t="n">
        <v>0</v>
      </c>
      <c r="Q25" t="n">
        <v>2</v>
      </c>
      <c r="R25" s="2" t="inlineStr">
        <is>
          <t>Spillkråka
Jättesvampmal</t>
        </is>
      </c>
      <c r="S25">
        <f>HYPERLINK("https://klasma.github.io/Logging_2104/artfynd/A 38862-2022 artfynd.xlsx", "A 38862-2022")</f>
        <v/>
      </c>
      <c r="T25">
        <f>HYPERLINK("https://klasma.github.io/Logging_2104/kartor/A 38862-2022 karta.png", "A 38862-2022")</f>
        <v/>
      </c>
      <c r="V25">
        <f>HYPERLINK("https://klasma.github.io/Logging_2104/klagomål/A 38862-2022 FSC-klagomål.docx", "A 38862-2022")</f>
        <v/>
      </c>
      <c r="W25">
        <f>HYPERLINK("https://klasma.github.io/Logging_2104/klagomålsmail/A 38862-2022 FSC-klagomål mail.docx", "A 38862-2022")</f>
        <v/>
      </c>
      <c r="X25">
        <f>HYPERLINK("https://klasma.github.io/Logging_2104/tillsyn/A 38862-2022 tillsynsbegäran.docx", "A 38862-2022")</f>
        <v/>
      </c>
      <c r="Y25">
        <f>HYPERLINK("https://klasma.github.io/Logging_2104/tillsynsmail/A 38862-2022 tillsynsbegäran mail.docx", "A 38862-2022")</f>
        <v/>
      </c>
      <c r="Z25">
        <f>HYPERLINK("https://klasma.github.io/Logging_2104/fåglar/A 38862-2022 prioriterade fågelarter.docx", "A 38862-2022")</f>
        <v/>
      </c>
    </row>
    <row r="26" ht="15" customHeight="1">
      <c r="A26" t="inlineStr">
        <is>
          <t>A 19549-2023</t>
        </is>
      </c>
      <c r="B26" s="1" t="n">
        <v>45050</v>
      </c>
      <c r="C26" s="1" t="n">
        <v>45362</v>
      </c>
      <c r="D26" t="inlineStr">
        <is>
          <t>GÄVLEBORGS LÄN</t>
        </is>
      </c>
      <c r="E26" t="inlineStr">
        <is>
          <t>HOFORS</t>
        </is>
      </c>
      <c r="G26" t="n">
        <v>3.2</v>
      </c>
      <c r="H26" t="n">
        <v>1</v>
      </c>
      <c r="I26" t="n">
        <v>1</v>
      </c>
      <c r="J26" t="n">
        <v>0</v>
      </c>
      <c r="K26" t="n">
        <v>0</v>
      </c>
      <c r="L26" t="n">
        <v>0</v>
      </c>
      <c r="M26" t="n">
        <v>0</v>
      </c>
      <c r="N26" t="n">
        <v>0</v>
      </c>
      <c r="O26" t="n">
        <v>0</v>
      </c>
      <c r="P26" t="n">
        <v>0</v>
      </c>
      <c r="Q26" t="n">
        <v>2</v>
      </c>
      <c r="R26" s="2" t="inlineStr">
        <is>
          <t>Svavelriska
Blåsippa</t>
        </is>
      </c>
      <c r="S26">
        <f>HYPERLINK("https://klasma.github.io/Logging_2104/artfynd/A 19549-2023 artfynd.xlsx", "A 19549-2023")</f>
        <v/>
      </c>
      <c r="T26">
        <f>HYPERLINK("https://klasma.github.io/Logging_2104/kartor/A 19549-2023 karta.png", "A 19549-2023")</f>
        <v/>
      </c>
      <c r="V26">
        <f>HYPERLINK("https://klasma.github.io/Logging_2104/klagomål/A 19549-2023 FSC-klagomål.docx", "A 19549-2023")</f>
        <v/>
      </c>
      <c r="W26">
        <f>HYPERLINK("https://klasma.github.io/Logging_2104/klagomålsmail/A 19549-2023 FSC-klagomål mail.docx", "A 19549-2023")</f>
        <v/>
      </c>
      <c r="X26">
        <f>HYPERLINK("https://klasma.github.io/Logging_2104/tillsyn/A 19549-2023 tillsynsbegäran.docx", "A 19549-2023")</f>
        <v/>
      </c>
      <c r="Y26">
        <f>HYPERLINK("https://klasma.github.io/Logging_2104/tillsynsmail/A 19549-2023 tillsynsbegäran mail.docx", "A 19549-2023")</f>
        <v/>
      </c>
    </row>
    <row r="27" ht="15" customHeight="1">
      <c r="A27" t="inlineStr">
        <is>
          <t>A 39002-2023</t>
        </is>
      </c>
      <c r="B27" s="1" t="n">
        <v>45163</v>
      </c>
      <c r="C27" s="1" t="n">
        <v>45362</v>
      </c>
      <c r="D27" t="inlineStr">
        <is>
          <t>GÄVLEBORGS LÄN</t>
        </is>
      </c>
      <c r="E27" t="inlineStr">
        <is>
          <t>HOFORS</t>
        </is>
      </c>
      <c r="F27" t="inlineStr">
        <is>
          <t>Sveaskog</t>
        </is>
      </c>
      <c r="G27" t="n">
        <v>2.5</v>
      </c>
      <c r="H27" t="n">
        <v>1</v>
      </c>
      <c r="I27" t="n">
        <v>1</v>
      </c>
      <c r="J27" t="n">
        <v>0</v>
      </c>
      <c r="K27" t="n">
        <v>0</v>
      </c>
      <c r="L27" t="n">
        <v>0</v>
      </c>
      <c r="M27" t="n">
        <v>0</v>
      </c>
      <c r="N27" t="n">
        <v>0</v>
      </c>
      <c r="O27" t="n">
        <v>0</v>
      </c>
      <c r="P27" t="n">
        <v>0</v>
      </c>
      <c r="Q27" t="n">
        <v>2</v>
      </c>
      <c r="R27" s="2" t="inlineStr">
        <is>
          <t>Gräsull
Blåsippa</t>
        </is>
      </c>
      <c r="S27">
        <f>HYPERLINK("https://klasma.github.io/Logging_2104/artfynd/A 39002-2023 artfynd.xlsx", "A 39002-2023")</f>
        <v/>
      </c>
      <c r="T27">
        <f>HYPERLINK("https://klasma.github.io/Logging_2104/kartor/A 39002-2023 karta.png", "A 39002-2023")</f>
        <v/>
      </c>
      <c r="V27">
        <f>HYPERLINK("https://klasma.github.io/Logging_2104/klagomål/A 39002-2023 FSC-klagomål.docx", "A 39002-2023")</f>
        <v/>
      </c>
      <c r="W27">
        <f>HYPERLINK("https://klasma.github.io/Logging_2104/klagomålsmail/A 39002-2023 FSC-klagomål mail.docx", "A 39002-2023")</f>
        <v/>
      </c>
      <c r="X27">
        <f>HYPERLINK("https://klasma.github.io/Logging_2104/tillsyn/A 39002-2023 tillsynsbegäran.docx", "A 39002-2023")</f>
        <v/>
      </c>
      <c r="Y27">
        <f>HYPERLINK("https://klasma.github.io/Logging_2104/tillsynsmail/A 39002-2023 tillsynsbegäran mail.docx", "A 39002-2023")</f>
        <v/>
      </c>
    </row>
    <row r="28" ht="15" customHeight="1">
      <c r="A28" t="inlineStr">
        <is>
          <t>A 41327-2023</t>
        </is>
      </c>
      <c r="B28" s="1" t="n">
        <v>45174</v>
      </c>
      <c r="C28" s="1" t="n">
        <v>45362</v>
      </c>
      <c r="D28" t="inlineStr">
        <is>
          <t>GÄVLEBORGS LÄN</t>
        </is>
      </c>
      <c r="E28" t="inlineStr">
        <is>
          <t>HOFORS</t>
        </is>
      </c>
      <c r="F28" t="inlineStr">
        <is>
          <t>Sveaskog</t>
        </is>
      </c>
      <c r="G28" t="n">
        <v>2.9</v>
      </c>
      <c r="H28" t="n">
        <v>1</v>
      </c>
      <c r="I28" t="n">
        <v>1</v>
      </c>
      <c r="J28" t="n">
        <v>1</v>
      </c>
      <c r="K28" t="n">
        <v>0</v>
      </c>
      <c r="L28" t="n">
        <v>0</v>
      </c>
      <c r="M28" t="n">
        <v>0</v>
      </c>
      <c r="N28" t="n">
        <v>0</v>
      </c>
      <c r="O28" t="n">
        <v>1</v>
      </c>
      <c r="P28" t="n">
        <v>0</v>
      </c>
      <c r="Q28" t="n">
        <v>2</v>
      </c>
      <c r="R28" s="2" t="inlineStr">
        <is>
          <t>Skogsfru
Svart trolldruva</t>
        </is>
      </c>
      <c r="S28">
        <f>HYPERLINK("https://klasma.github.io/Logging_2104/artfynd/A 41327-2023 artfynd.xlsx", "A 41327-2023")</f>
        <v/>
      </c>
      <c r="T28">
        <f>HYPERLINK("https://klasma.github.io/Logging_2104/kartor/A 41327-2023 karta.png", "A 41327-2023")</f>
        <v/>
      </c>
      <c r="V28">
        <f>HYPERLINK("https://klasma.github.io/Logging_2104/klagomål/A 41327-2023 FSC-klagomål.docx", "A 41327-2023")</f>
        <v/>
      </c>
      <c r="W28">
        <f>HYPERLINK("https://klasma.github.io/Logging_2104/klagomålsmail/A 41327-2023 FSC-klagomål mail.docx", "A 41327-2023")</f>
        <v/>
      </c>
      <c r="X28">
        <f>HYPERLINK("https://klasma.github.io/Logging_2104/tillsyn/A 41327-2023 tillsynsbegäran.docx", "A 41327-2023")</f>
        <v/>
      </c>
      <c r="Y28">
        <f>HYPERLINK("https://klasma.github.io/Logging_2104/tillsynsmail/A 41327-2023 tillsynsbegäran mail.docx", "A 41327-2023")</f>
        <v/>
      </c>
    </row>
    <row r="29" ht="15" customHeight="1">
      <c r="A29" t="inlineStr">
        <is>
          <t>A 38174-2019</t>
        </is>
      </c>
      <c r="B29" s="1" t="n">
        <v>43684</v>
      </c>
      <c r="C29" s="1" t="n">
        <v>45362</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45362</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45362</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45362</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45362</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45362</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45362</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45362</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13741-2023</t>
        </is>
      </c>
      <c r="B37" s="1" t="n">
        <v>45007</v>
      </c>
      <c r="C37" s="1" t="n">
        <v>45362</v>
      </c>
      <c r="D37" t="inlineStr">
        <is>
          <t>GÄVLEBORGS LÄN</t>
        </is>
      </c>
      <c r="E37" t="inlineStr">
        <is>
          <t>HOFORS</t>
        </is>
      </c>
      <c r="F37" t="inlineStr">
        <is>
          <t>Övriga statliga verk och myndigheter</t>
        </is>
      </c>
      <c r="G37" t="n">
        <v>1.6</v>
      </c>
      <c r="H37" t="n">
        <v>0</v>
      </c>
      <c r="I37" t="n">
        <v>1</v>
      </c>
      <c r="J37" t="n">
        <v>0</v>
      </c>
      <c r="K37" t="n">
        <v>0</v>
      </c>
      <c r="L37" t="n">
        <v>0</v>
      </c>
      <c r="M37" t="n">
        <v>0</v>
      </c>
      <c r="N37" t="n">
        <v>0</v>
      </c>
      <c r="O37" t="n">
        <v>0</v>
      </c>
      <c r="P37" t="n">
        <v>0</v>
      </c>
      <c r="Q37" t="n">
        <v>1</v>
      </c>
      <c r="R37" s="2" t="inlineStr">
        <is>
          <t>Skarp dropptaggsvamp</t>
        </is>
      </c>
      <c r="S37">
        <f>HYPERLINK("https://klasma.github.io/Logging_2104/artfynd/A 13741-2023 artfynd.xlsx", "A 13741-2023")</f>
        <v/>
      </c>
      <c r="T37">
        <f>HYPERLINK("https://klasma.github.io/Logging_2104/kartor/A 13741-2023 karta.png", "A 13741-2023")</f>
        <v/>
      </c>
      <c r="V37">
        <f>HYPERLINK("https://klasma.github.io/Logging_2104/klagomål/A 13741-2023 FSC-klagomål.docx", "A 13741-2023")</f>
        <v/>
      </c>
      <c r="W37">
        <f>HYPERLINK("https://klasma.github.io/Logging_2104/klagomålsmail/A 13741-2023 FSC-klagomål mail.docx", "A 13741-2023")</f>
        <v/>
      </c>
      <c r="X37">
        <f>HYPERLINK("https://klasma.github.io/Logging_2104/tillsyn/A 13741-2023 tillsynsbegäran.docx", "A 13741-2023")</f>
        <v/>
      </c>
      <c r="Y37">
        <f>HYPERLINK("https://klasma.github.io/Logging_2104/tillsynsmail/A 13741-2023 tillsynsbegäran mail.docx", "A 13741-2023")</f>
        <v/>
      </c>
    </row>
    <row r="38" ht="15" customHeight="1">
      <c r="A38" t="inlineStr">
        <is>
          <t>A 14358-2023</t>
        </is>
      </c>
      <c r="B38" s="1" t="n">
        <v>45012</v>
      </c>
      <c r="C38" s="1" t="n">
        <v>45362</v>
      </c>
      <c r="D38" t="inlineStr">
        <is>
          <t>GÄVLEBORGS LÄN</t>
        </is>
      </c>
      <c r="E38" t="inlineStr">
        <is>
          <t>HOFORS</t>
        </is>
      </c>
      <c r="F38" t="inlineStr">
        <is>
          <t>Övriga statliga verk och myndigheter</t>
        </is>
      </c>
      <c r="G38" t="n">
        <v>1.2</v>
      </c>
      <c r="H38" t="n">
        <v>0</v>
      </c>
      <c r="I38" t="n">
        <v>1</v>
      </c>
      <c r="J38" t="n">
        <v>0</v>
      </c>
      <c r="K38" t="n">
        <v>0</v>
      </c>
      <c r="L38" t="n">
        <v>0</v>
      </c>
      <c r="M38" t="n">
        <v>0</v>
      </c>
      <c r="N38" t="n">
        <v>0</v>
      </c>
      <c r="O38" t="n">
        <v>0</v>
      </c>
      <c r="P38" t="n">
        <v>0</v>
      </c>
      <c r="Q38" t="n">
        <v>1</v>
      </c>
      <c r="R38" s="2" t="inlineStr">
        <is>
          <t>Bronshjon</t>
        </is>
      </c>
      <c r="S38">
        <f>HYPERLINK("https://klasma.github.io/Logging_2104/artfynd/A 14358-2023 artfynd.xlsx", "A 14358-2023")</f>
        <v/>
      </c>
      <c r="T38">
        <f>HYPERLINK("https://klasma.github.io/Logging_2104/kartor/A 14358-2023 karta.png", "A 14358-2023")</f>
        <v/>
      </c>
      <c r="V38">
        <f>HYPERLINK("https://klasma.github.io/Logging_2104/klagomål/A 14358-2023 FSC-klagomål.docx", "A 14358-2023")</f>
        <v/>
      </c>
      <c r="W38">
        <f>HYPERLINK("https://klasma.github.io/Logging_2104/klagomålsmail/A 14358-2023 FSC-klagomål mail.docx", "A 14358-2023")</f>
        <v/>
      </c>
      <c r="X38">
        <f>HYPERLINK("https://klasma.github.io/Logging_2104/tillsyn/A 14358-2023 tillsynsbegäran.docx", "A 14358-2023")</f>
        <v/>
      </c>
      <c r="Y38">
        <f>HYPERLINK("https://klasma.github.io/Logging_2104/tillsynsmail/A 14358-2023 tillsynsbegäran mail.docx", "A 14358-2023")</f>
        <v/>
      </c>
    </row>
    <row r="39" ht="15" customHeight="1">
      <c r="A39" t="inlineStr">
        <is>
          <t>A 18683-2023</t>
        </is>
      </c>
      <c r="B39" s="1" t="n">
        <v>45043</v>
      </c>
      <c r="C39" s="1" t="n">
        <v>45362</v>
      </c>
      <c r="D39" t="inlineStr">
        <is>
          <t>GÄVLEBORGS LÄN</t>
        </is>
      </c>
      <c r="E39" t="inlineStr">
        <is>
          <t>HOFORS</t>
        </is>
      </c>
      <c r="G39" t="n">
        <v>32.2</v>
      </c>
      <c r="H39" t="n">
        <v>1</v>
      </c>
      <c r="I39" t="n">
        <v>0</v>
      </c>
      <c r="J39" t="n">
        <v>0</v>
      </c>
      <c r="K39" t="n">
        <v>0</v>
      </c>
      <c r="L39" t="n">
        <v>0</v>
      </c>
      <c r="M39" t="n">
        <v>0</v>
      </c>
      <c r="N39" t="n">
        <v>0</v>
      </c>
      <c r="O39" t="n">
        <v>0</v>
      </c>
      <c r="P39" t="n">
        <v>0</v>
      </c>
      <c r="Q39" t="n">
        <v>1</v>
      </c>
      <c r="R39" s="2" t="inlineStr">
        <is>
          <t>Blåsippa</t>
        </is>
      </c>
      <c r="S39">
        <f>HYPERLINK("https://klasma.github.io/Logging_2104/artfynd/A 18683-2023 artfynd.xlsx", "A 18683-2023")</f>
        <v/>
      </c>
      <c r="T39">
        <f>HYPERLINK("https://klasma.github.io/Logging_2104/kartor/A 18683-2023 karta.png", "A 18683-2023")</f>
        <v/>
      </c>
      <c r="V39">
        <f>HYPERLINK("https://klasma.github.io/Logging_2104/klagomål/A 18683-2023 FSC-klagomål.docx", "A 18683-2023")</f>
        <v/>
      </c>
      <c r="W39">
        <f>HYPERLINK("https://klasma.github.io/Logging_2104/klagomålsmail/A 18683-2023 FSC-klagomål mail.docx", "A 18683-2023")</f>
        <v/>
      </c>
      <c r="X39">
        <f>HYPERLINK("https://klasma.github.io/Logging_2104/tillsyn/A 18683-2023 tillsynsbegäran.docx", "A 18683-2023")</f>
        <v/>
      </c>
      <c r="Y39">
        <f>HYPERLINK("https://klasma.github.io/Logging_2104/tillsynsmail/A 18683-2023 tillsynsbegäran mail.docx", "A 18683-2023")</f>
        <v/>
      </c>
    </row>
    <row r="40" ht="15" customHeight="1">
      <c r="A40" t="inlineStr">
        <is>
          <t>A 21030-2023</t>
        </is>
      </c>
      <c r="B40" s="1" t="n">
        <v>45061</v>
      </c>
      <c r="C40" s="1" t="n">
        <v>45362</v>
      </c>
      <c r="D40" t="inlineStr">
        <is>
          <t>GÄVLEBORGS LÄN</t>
        </is>
      </c>
      <c r="E40" t="inlineStr">
        <is>
          <t>HOFORS</t>
        </is>
      </c>
      <c r="G40" t="n">
        <v>6.8</v>
      </c>
      <c r="H40" t="n">
        <v>1</v>
      </c>
      <c r="I40" t="n">
        <v>0</v>
      </c>
      <c r="J40" t="n">
        <v>0</v>
      </c>
      <c r="K40" t="n">
        <v>1</v>
      </c>
      <c r="L40" t="n">
        <v>0</v>
      </c>
      <c r="M40" t="n">
        <v>0</v>
      </c>
      <c r="N40" t="n">
        <v>0</v>
      </c>
      <c r="O40" t="n">
        <v>1</v>
      </c>
      <c r="P40" t="n">
        <v>1</v>
      </c>
      <c r="Q40" t="n">
        <v>1</v>
      </c>
      <c r="R40" s="2" t="inlineStr">
        <is>
          <t>Havstrut</t>
        </is>
      </c>
      <c r="S40">
        <f>HYPERLINK("https://klasma.github.io/Logging_2104/artfynd/A 21030-2023 artfynd.xlsx", "A 21030-2023")</f>
        <v/>
      </c>
      <c r="T40">
        <f>HYPERLINK("https://klasma.github.io/Logging_2104/kartor/A 21030-2023 karta.png", "A 21030-2023")</f>
        <v/>
      </c>
      <c r="V40">
        <f>HYPERLINK("https://klasma.github.io/Logging_2104/klagomål/A 21030-2023 FSC-klagomål.docx", "A 21030-2023")</f>
        <v/>
      </c>
      <c r="W40">
        <f>HYPERLINK("https://klasma.github.io/Logging_2104/klagomålsmail/A 21030-2023 FSC-klagomål mail.docx", "A 21030-2023")</f>
        <v/>
      </c>
      <c r="X40">
        <f>HYPERLINK("https://klasma.github.io/Logging_2104/tillsyn/A 21030-2023 tillsynsbegäran.docx", "A 21030-2023")</f>
        <v/>
      </c>
      <c r="Y40">
        <f>HYPERLINK("https://klasma.github.io/Logging_2104/tillsynsmail/A 21030-2023 tillsynsbegäran mail.docx", "A 21030-2023")</f>
        <v/>
      </c>
    </row>
    <row r="41" ht="15" customHeight="1">
      <c r="A41" t="inlineStr">
        <is>
          <t>A 29400-2023</t>
        </is>
      </c>
      <c r="B41" s="1" t="n">
        <v>45106</v>
      </c>
      <c r="C41" s="1" t="n">
        <v>45362</v>
      </c>
      <c r="D41" t="inlineStr">
        <is>
          <t>GÄVLEBORGS LÄN</t>
        </is>
      </c>
      <c r="E41" t="inlineStr">
        <is>
          <t>HOFORS</t>
        </is>
      </c>
      <c r="G41" t="n">
        <v>6.8</v>
      </c>
      <c r="H41" t="n">
        <v>1</v>
      </c>
      <c r="I41" t="n">
        <v>0</v>
      </c>
      <c r="J41" t="n">
        <v>0</v>
      </c>
      <c r="K41" t="n">
        <v>1</v>
      </c>
      <c r="L41" t="n">
        <v>0</v>
      </c>
      <c r="M41" t="n">
        <v>0</v>
      </c>
      <c r="N41" t="n">
        <v>0</v>
      </c>
      <c r="O41" t="n">
        <v>1</v>
      </c>
      <c r="P41" t="n">
        <v>1</v>
      </c>
      <c r="Q41" t="n">
        <v>1</v>
      </c>
      <c r="R41" s="2" t="inlineStr">
        <is>
          <t>Knärot</t>
        </is>
      </c>
      <c r="S41">
        <f>HYPERLINK("https://klasma.github.io/Logging_2104/artfynd/A 29400-2023 artfynd.xlsx", "A 29400-2023")</f>
        <v/>
      </c>
      <c r="T41">
        <f>HYPERLINK("https://klasma.github.io/Logging_2104/kartor/A 29400-2023 karta.png", "A 29400-2023")</f>
        <v/>
      </c>
      <c r="U41">
        <f>HYPERLINK("https://klasma.github.io/Logging_2104/knärot/A 29400-2023 karta knärot.png", "A 29400-2023")</f>
        <v/>
      </c>
      <c r="V41">
        <f>HYPERLINK("https://klasma.github.io/Logging_2104/klagomål/A 29400-2023 FSC-klagomål.docx", "A 29400-2023")</f>
        <v/>
      </c>
      <c r="W41">
        <f>HYPERLINK("https://klasma.github.io/Logging_2104/klagomålsmail/A 29400-2023 FSC-klagomål mail.docx", "A 29400-2023")</f>
        <v/>
      </c>
      <c r="X41">
        <f>HYPERLINK("https://klasma.github.io/Logging_2104/tillsyn/A 29400-2023 tillsynsbegäran.docx", "A 29400-2023")</f>
        <v/>
      </c>
      <c r="Y41">
        <f>HYPERLINK("https://klasma.github.io/Logging_2104/tillsynsmail/A 29400-2023 tillsynsbegäran mail.docx", "A 29400-2023")</f>
        <v/>
      </c>
    </row>
    <row r="42" ht="15" customHeight="1">
      <c r="A42" t="inlineStr">
        <is>
          <t>A 33491-2023</t>
        </is>
      </c>
      <c r="B42" s="1" t="n">
        <v>45118</v>
      </c>
      <c r="C42" s="1" t="n">
        <v>45362</v>
      </c>
      <c r="D42" t="inlineStr">
        <is>
          <t>GÄVLEBORGS LÄN</t>
        </is>
      </c>
      <c r="E42" t="inlineStr">
        <is>
          <t>HOFORS</t>
        </is>
      </c>
      <c r="F42" t="inlineStr">
        <is>
          <t>Bergvik skog väst AB</t>
        </is>
      </c>
      <c r="G42" t="n">
        <v>32.3</v>
      </c>
      <c r="H42" t="n">
        <v>1</v>
      </c>
      <c r="I42" t="n">
        <v>0</v>
      </c>
      <c r="J42" t="n">
        <v>0</v>
      </c>
      <c r="K42" t="n">
        <v>0</v>
      </c>
      <c r="L42" t="n">
        <v>0</v>
      </c>
      <c r="M42" t="n">
        <v>0</v>
      </c>
      <c r="N42" t="n">
        <v>0</v>
      </c>
      <c r="O42" t="n">
        <v>0</v>
      </c>
      <c r="P42" t="n">
        <v>0</v>
      </c>
      <c r="Q42" t="n">
        <v>1</v>
      </c>
      <c r="R42" s="2" t="inlineStr">
        <is>
          <t>Revlummer</t>
        </is>
      </c>
      <c r="S42">
        <f>HYPERLINK("https://klasma.github.io/Logging_2104/artfynd/A 33491-2023 artfynd.xlsx", "A 33491-2023")</f>
        <v/>
      </c>
      <c r="T42">
        <f>HYPERLINK("https://klasma.github.io/Logging_2104/kartor/A 33491-2023 karta.png", "A 33491-2023")</f>
        <v/>
      </c>
      <c r="V42">
        <f>HYPERLINK("https://klasma.github.io/Logging_2104/klagomål/A 33491-2023 FSC-klagomål.docx", "A 33491-2023")</f>
        <v/>
      </c>
      <c r="W42">
        <f>HYPERLINK("https://klasma.github.io/Logging_2104/klagomålsmail/A 33491-2023 FSC-klagomål mail.docx", "A 33491-2023")</f>
        <v/>
      </c>
      <c r="X42">
        <f>HYPERLINK("https://klasma.github.io/Logging_2104/tillsyn/A 33491-2023 tillsynsbegäran.docx", "A 33491-2023")</f>
        <v/>
      </c>
      <c r="Y42">
        <f>HYPERLINK("https://klasma.github.io/Logging_2104/tillsynsmail/A 33491-2023 tillsynsbegäran mail.docx", "A 33491-2023")</f>
        <v/>
      </c>
    </row>
    <row r="43" ht="15" customHeight="1">
      <c r="A43" t="inlineStr">
        <is>
          <t>A 33298-2023</t>
        </is>
      </c>
      <c r="B43" s="1" t="n">
        <v>45127</v>
      </c>
      <c r="C43" s="1" t="n">
        <v>45362</v>
      </c>
      <c r="D43" t="inlineStr">
        <is>
          <t>GÄVLEBORGS LÄN</t>
        </is>
      </c>
      <c r="E43" t="inlineStr">
        <is>
          <t>HOFORS</t>
        </is>
      </c>
      <c r="F43" t="inlineStr">
        <is>
          <t>Sveaskog</t>
        </is>
      </c>
      <c r="G43" t="n">
        <v>5.6</v>
      </c>
      <c r="H43" t="n">
        <v>0</v>
      </c>
      <c r="I43" t="n">
        <v>1</v>
      </c>
      <c r="J43" t="n">
        <v>0</v>
      </c>
      <c r="K43" t="n">
        <v>0</v>
      </c>
      <c r="L43" t="n">
        <v>0</v>
      </c>
      <c r="M43" t="n">
        <v>0</v>
      </c>
      <c r="N43" t="n">
        <v>0</v>
      </c>
      <c r="O43" t="n">
        <v>0</v>
      </c>
      <c r="P43" t="n">
        <v>0</v>
      </c>
      <c r="Q43" t="n">
        <v>1</v>
      </c>
      <c r="R43" s="2" t="inlineStr">
        <is>
          <t>Vedticka</t>
        </is>
      </c>
      <c r="S43">
        <f>HYPERLINK("https://klasma.github.io/Logging_2104/artfynd/A 33298-2023 artfynd.xlsx", "A 33298-2023")</f>
        <v/>
      </c>
      <c r="T43">
        <f>HYPERLINK("https://klasma.github.io/Logging_2104/kartor/A 33298-2023 karta.png", "A 33298-2023")</f>
        <v/>
      </c>
      <c r="V43">
        <f>HYPERLINK("https://klasma.github.io/Logging_2104/klagomål/A 33298-2023 FSC-klagomål.docx", "A 33298-2023")</f>
        <v/>
      </c>
      <c r="W43">
        <f>HYPERLINK("https://klasma.github.io/Logging_2104/klagomålsmail/A 33298-2023 FSC-klagomål mail.docx", "A 33298-2023")</f>
        <v/>
      </c>
      <c r="X43">
        <f>HYPERLINK("https://klasma.github.io/Logging_2104/tillsyn/A 33298-2023 tillsynsbegäran.docx", "A 33298-2023")</f>
        <v/>
      </c>
      <c r="Y43">
        <f>HYPERLINK("https://klasma.github.io/Logging_2104/tillsynsmail/A 33298-2023 tillsynsbegäran mail.docx", "A 33298-2023")</f>
        <v/>
      </c>
    </row>
    <row r="44" ht="15" customHeight="1">
      <c r="A44" t="inlineStr">
        <is>
          <t>A 34244-2023</t>
        </is>
      </c>
      <c r="B44" s="1" t="n">
        <v>45138</v>
      </c>
      <c r="C44" s="1" t="n">
        <v>45362</v>
      </c>
      <c r="D44" t="inlineStr">
        <is>
          <t>GÄVLEBORGS LÄN</t>
        </is>
      </c>
      <c r="E44" t="inlineStr">
        <is>
          <t>HOFORS</t>
        </is>
      </c>
      <c r="F44" t="inlineStr">
        <is>
          <t>Sveaskog</t>
        </is>
      </c>
      <c r="G44" t="n">
        <v>3.3</v>
      </c>
      <c r="H44" t="n">
        <v>1</v>
      </c>
      <c r="I44" t="n">
        <v>0</v>
      </c>
      <c r="J44" t="n">
        <v>0</v>
      </c>
      <c r="K44" t="n">
        <v>0</v>
      </c>
      <c r="L44" t="n">
        <v>0</v>
      </c>
      <c r="M44" t="n">
        <v>0</v>
      </c>
      <c r="N44" t="n">
        <v>0</v>
      </c>
      <c r="O44" t="n">
        <v>0</v>
      </c>
      <c r="P44" t="n">
        <v>0</v>
      </c>
      <c r="Q44" t="n">
        <v>1</v>
      </c>
      <c r="R44" s="2" t="inlineStr">
        <is>
          <t>Fläcknycklar</t>
        </is>
      </c>
      <c r="S44">
        <f>HYPERLINK("https://klasma.github.io/Logging_2104/artfynd/A 34244-2023 artfynd.xlsx", "A 34244-2023")</f>
        <v/>
      </c>
      <c r="T44">
        <f>HYPERLINK("https://klasma.github.io/Logging_2104/kartor/A 34244-2023 karta.png", "A 34244-2023")</f>
        <v/>
      </c>
      <c r="V44">
        <f>HYPERLINK("https://klasma.github.io/Logging_2104/klagomål/A 34244-2023 FSC-klagomål.docx", "A 34244-2023")</f>
        <v/>
      </c>
      <c r="W44">
        <f>HYPERLINK("https://klasma.github.io/Logging_2104/klagomålsmail/A 34244-2023 FSC-klagomål mail.docx", "A 34244-2023")</f>
        <v/>
      </c>
      <c r="X44">
        <f>HYPERLINK("https://klasma.github.io/Logging_2104/tillsyn/A 34244-2023 tillsynsbegäran.docx", "A 34244-2023")</f>
        <v/>
      </c>
      <c r="Y44">
        <f>HYPERLINK("https://klasma.github.io/Logging_2104/tillsynsmail/A 34244-2023 tillsynsbegäran mail.docx", "A 34244-2023")</f>
        <v/>
      </c>
    </row>
    <row r="45" ht="15" customHeight="1">
      <c r="A45" t="inlineStr">
        <is>
          <t>A 35614-2023</t>
        </is>
      </c>
      <c r="B45" s="1" t="n">
        <v>45147</v>
      </c>
      <c r="C45" s="1" t="n">
        <v>45362</v>
      </c>
      <c r="D45" t="inlineStr">
        <is>
          <t>GÄVLEBORGS LÄN</t>
        </is>
      </c>
      <c r="E45" t="inlineStr">
        <is>
          <t>HOFORS</t>
        </is>
      </c>
      <c r="G45" t="n">
        <v>0.9</v>
      </c>
      <c r="H45" t="n">
        <v>0</v>
      </c>
      <c r="I45" t="n">
        <v>0</v>
      </c>
      <c r="J45" t="n">
        <v>1</v>
      </c>
      <c r="K45" t="n">
        <v>0</v>
      </c>
      <c r="L45" t="n">
        <v>0</v>
      </c>
      <c r="M45" t="n">
        <v>0</v>
      </c>
      <c r="N45" t="n">
        <v>0</v>
      </c>
      <c r="O45" t="n">
        <v>1</v>
      </c>
      <c r="P45" t="n">
        <v>0</v>
      </c>
      <c r="Q45" t="n">
        <v>1</v>
      </c>
      <c r="R45" s="2" t="inlineStr">
        <is>
          <t>Slät tallkapuschongbagge</t>
        </is>
      </c>
      <c r="S45">
        <f>HYPERLINK("https://klasma.github.io/Logging_2104/artfynd/A 35614-2023 artfynd.xlsx", "A 35614-2023")</f>
        <v/>
      </c>
      <c r="T45">
        <f>HYPERLINK("https://klasma.github.io/Logging_2104/kartor/A 35614-2023 karta.png", "A 35614-2023")</f>
        <v/>
      </c>
      <c r="V45">
        <f>HYPERLINK("https://klasma.github.io/Logging_2104/klagomål/A 35614-2023 FSC-klagomål.docx", "A 35614-2023")</f>
        <v/>
      </c>
      <c r="W45">
        <f>HYPERLINK("https://klasma.github.io/Logging_2104/klagomålsmail/A 35614-2023 FSC-klagomål mail.docx", "A 35614-2023")</f>
        <v/>
      </c>
      <c r="X45">
        <f>HYPERLINK("https://klasma.github.io/Logging_2104/tillsyn/A 35614-2023 tillsynsbegäran.docx", "A 35614-2023")</f>
        <v/>
      </c>
      <c r="Y45">
        <f>HYPERLINK("https://klasma.github.io/Logging_2104/tillsynsmail/A 35614-2023 tillsynsbegäran mail.docx", "A 35614-2023")</f>
        <v/>
      </c>
    </row>
    <row r="46" ht="15" customHeight="1">
      <c r="A46" t="inlineStr">
        <is>
          <t>A 39001-2023</t>
        </is>
      </c>
      <c r="B46" s="1" t="n">
        <v>45163</v>
      </c>
      <c r="C46" s="1" t="n">
        <v>45362</v>
      </c>
      <c r="D46" t="inlineStr">
        <is>
          <t>GÄVLEBORGS LÄN</t>
        </is>
      </c>
      <c r="E46" t="inlineStr">
        <is>
          <t>HOFORS</t>
        </is>
      </c>
      <c r="F46" t="inlineStr">
        <is>
          <t>Sveaskog</t>
        </is>
      </c>
      <c r="G46" t="n">
        <v>2.1</v>
      </c>
      <c r="H46" t="n">
        <v>1</v>
      </c>
      <c r="I46" t="n">
        <v>0</v>
      </c>
      <c r="J46" t="n">
        <v>0</v>
      </c>
      <c r="K46" t="n">
        <v>0</v>
      </c>
      <c r="L46" t="n">
        <v>0</v>
      </c>
      <c r="M46" t="n">
        <v>0</v>
      </c>
      <c r="N46" t="n">
        <v>0</v>
      </c>
      <c r="O46" t="n">
        <v>0</v>
      </c>
      <c r="P46" t="n">
        <v>0</v>
      </c>
      <c r="Q46" t="n">
        <v>1</v>
      </c>
      <c r="R46" s="2" t="inlineStr">
        <is>
          <t>Revlummer</t>
        </is>
      </c>
      <c r="S46">
        <f>HYPERLINK("https://klasma.github.io/Logging_2104/artfynd/A 39001-2023 artfynd.xlsx", "A 39001-2023")</f>
        <v/>
      </c>
      <c r="T46">
        <f>HYPERLINK("https://klasma.github.io/Logging_2104/kartor/A 39001-2023 karta.png", "A 39001-2023")</f>
        <v/>
      </c>
      <c r="V46">
        <f>HYPERLINK("https://klasma.github.io/Logging_2104/klagomål/A 39001-2023 FSC-klagomål.docx", "A 39001-2023")</f>
        <v/>
      </c>
      <c r="W46">
        <f>HYPERLINK("https://klasma.github.io/Logging_2104/klagomålsmail/A 39001-2023 FSC-klagomål mail.docx", "A 39001-2023")</f>
        <v/>
      </c>
      <c r="X46">
        <f>HYPERLINK("https://klasma.github.io/Logging_2104/tillsyn/A 39001-2023 tillsynsbegäran.docx", "A 39001-2023")</f>
        <v/>
      </c>
      <c r="Y46">
        <f>HYPERLINK("https://klasma.github.io/Logging_2104/tillsynsmail/A 39001-2023 tillsynsbegäran mail.docx", "A 39001-2023")</f>
        <v/>
      </c>
    </row>
    <row r="47" ht="15" customHeight="1">
      <c r="A47" t="inlineStr">
        <is>
          <t>A 47459-2023</t>
        </is>
      </c>
      <c r="B47" s="1" t="n">
        <v>45202</v>
      </c>
      <c r="C47" s="1" t="n">
        <v>45362</v>
      </c>
      <c r="D47" t="inlineStr">
        <is>
          <t>GÄVLEBORGS LÄN</t>
        </is>
      </c>
      <c r="E47" t="inlineStr">
        <is>
          <t>HOFORS</t>
        </is>
      </c>
      <c r="G47" t="n">
        <v>6</v>
      </c>
      <c r="H47" t="n">
        <v>0</v>
      </c>
      <c r="I47" t="n">
        <v>1</v>
      </c>
      <c r="J47" t="n">
        <v>0</v>
      </c>
      <c r="K47" t="n">
        <v>0</v>
      </c>
      <c r="L47" t="n">
        <v>0</v>
      </c>
      <c r="M47" t="n">
        <v>0</v>
      </c>
      <c r="N47" t="n">
        <v>0</v>
      </c>
      <c r="O47" t="n">
        <v>0</v>
      </c>
      <c r="P47" t="n">
        <v>0</v>
      </c>
      <c r="Q47" t="n">
        <v>1</v>
      </c>
      <c r="R47" s="2" t="inlineStr">
        <is>
          <t>Grönpyrola</t>
        </is>
      </c>
      <c r="S47">
        <f>HYPERLINK("https://klasma.github.io/Logging_2104/artfynd/A 47459-2023 artfynd.xlsx", "A 47459-2023")</f>
        <v/>
      </c>
      <c r="T47">
        <f>HYPERLINK("https://klasma.github.io/Logging_2104/kartor/A 47459-2023 karta.png", "A 47459-2023")</f>
        <v/>
      </c>
      <c r="V47">
        <f>HYPERLINK("https://klasma.github.io/Logging_2104/klagomål/A 47459-2023 FSC-klagomål.docx", "A 47459-2023")</f>
        <v/>
      </c>
      <c r="W47">
        <f>HYPERLINK("https://klasma.github.io/Logging_2104/klagomålsmail/A 47459-2023 FSC-klagomål mail.docx", "A 47459-2023")</f>
        <v/>
      </c>
      <c r="X47">
        <f>HYPERLINK("https://klasma.github.io/Logging_2104/tillsyn/A 47459-2023 tillsynsbegäran.docx", "A 47459-2023")</f>
        <v/>
      </c>
      <c r="Y47">
        <f>HYPERLINK("https://klasma.github.io/Logging_2104/tillsynsmail/A 47459-2023 tillsynsbegäran mail.docx", "A 47459-2023")</f>
        <v/>
      </c>
    </row>
    <row r="48" ht="15" customHeight="1">
      <c r="A48" t="inlineStr">
        <is>
          <t>A 45906-2018</t>
        </is>
      </c>
      <c r="B48" s="1" t="n">
        <v>43363</v>
      </c>
      <c r="C48" s="1" t="n">
        <v>45362</v>
      </c>
      <c r="D48" t="inlineStr">
        <is>
          <t>GÄVLEBORGS LÄN</t>
        </is>
      </c>
      <c r="E48" t="inlineStr">
        <is>
          <t>HOFORS</t>
        </is>
      </c>
      <c r="G48" t="n">
        <v>3.8</v>
      </c>
      <c r="H48" t="n">
        <v>0</v>
      </c>
      <c r="I48" t="n">
        <v>0</v>
      </c>
      <c r="J48" t="n">
        <v>0</v>
      </c>
      <c r="K48" t="n">
        <v>0</v>
      </c>
      <c r="L48" t="n">
        <v>0</v>
      </c>
      <c r="M48" t="n">
        <v>0</v>
      </c>
      <c r="N48" t="n">
        <v>0</v>
      </c>
      <c r="O48" t="n">
        <v>0</v>
      </c>
      <c r="P48" t="n">
        <v>0</v>
      </c>
      <c r="Q48" t="n">
        <v>0</v>
      </c>
      <c r="R48" s="2" t="inlineStr"/>
    </row>
    <row r="49" ht="15" customHeight="1">
      <c r="A49" t="inlineStr">
        <is>
          <t>A 69675-2018</t>
        </is>
      </c>
      <c r="B49" s="1" t="n">
        <v>43444</v>
      </c>
      <c r="C49" s="1" t="n">
        <v>45362</v>
      </c>
      <c r="D49" t="inlineStr">
        <is>
          <t>GÄVLEBORGS LÄN</t>
        </is>
      </c>
      <c r="E49" t="inlineStr">
        <is>
          <t>HOFORS</t>
        </is>
      </c>
      <c r="G49" t="n">
        <v>2.7</v>
      </c>
      <c r="H49" t="n">
        <v>0</v>
      </c>
      <c r="I49" t="n">
        <v>0</v>
      </c>
      <c r="J49" t="n">
        <v>0</v>
      </c>
      <c r="K49" t="n">
        <v>0</v>
      </c>
      <c r="L49" t="n">
        <v>0</v>
      </c>
      <c r="M49" t="n">
        <v>0</v>
      </c>
      <c r="N49" t="n">
        <v>0</v>
      </c>
      <c r="O49" t="n">
        <v>0</v>
      </c>
      <c r="P49" t="n">
        <v>0</v>
      </c>
      <c r="Q49" t="n">
        <v>0</v>
      </c>
      <c r="R49" s="2" t="inlineStr"/>
    </row>
    <row r="50" ht="15" customHeight="1">
      <c r="A50" t="inlineStr">
        <is>
          <t>A 70699-2018</t>
        </is>
      </c>
      <c r="B50" s="1" t="n">
        <v>43451</v>
      </c>
      <c r="C50" s="1" t="n">
        <v>45362</v>
      </c>
      <c r="D50" t="inlineStr">
        <is>
          <t>GÄVLEBORGS LÄN</t>
        </is>
      </c>
      <c r="E50" t="inlineStr">
        <is>
          <t>HOFORS</t>
        </is>
      </c>
      <c r="G50" t="n">
        <v>1.6</v>
      </c>
      <c r="H50" t="n">
        <v>0</v>
      </c>
      <c r="I50" t="n">
        <v>0</v>
      </c>
      <c r="J50" t="n">
        <v>0</v>
      </c>
      <c r="K50" t="n">
        <v>0</v>
      </c>
      <c r="L50" t="n">
        <v>0</v>
      </c>
      <c r="M50" t="n">
        <v>0</v>
      </c>
      <c r="N50" t="n">
        <v>0</v>
      </c>
      <c r="O50" t="n">
        <v>0</v>
      </c>
      <c r="P50" t="n">
        <v>0</v>
      </c>
      <c r="Q50" t="n">
        <v>0</v>
      </c>
      <c r="R50" s="2" t="inlineStr"/>
    </row>
    <row r="51" ht="15" customHeight="1">
      <c r="A51" t="inlineStr">
        <is>
          <t>A 867-2019</t>
        </is>
      </c>
      <c r="B51" s="1" t="n">
        <v>43472</v>
      </c>
      <c r="C51" s="1" t="n">
        <v>45362</v>
      </c>
      <c r="D51" t="inlineStr">
        <is>
          <t>GÄVLEBORGS LÄN</t>
        </is>
      </c>
      <c r="E51" t="inlineStr">
        <is>
          <t>HOFORS</t>
        </is>
      </c>
      <c r="G51" t="n">
        <v>7.2</v>
      </c>
      <c r="H51" t="n">
        <v>0</v>
      </c>
      <c r="I51" t="n">
        <v>0</v>
      </c>
      <c r="J51" t="n">
        <v>0</v>
      </c>
      <c r="K51" t="n">
        <v>0</v>
      </c>
      <c r="L51" t="n">
        <v>0</v>
      </c>
      <c r="M51" t="n">
        <v>0</v>
      </c>
      <c r="N51" t="n">
        <v>0</v>
      </c>
      <c r="O51" t="n">
        <v>0</v>
      </c>
      <c r="P51" t="n">
        <v>0</v>
      </c>
      <c r="Q51" t="n">
        <v>0</v>
      </c>
      <c r="R51" s="2" t="inlineStr"/>
    </row>
    <row r="52" ht="15" customHeight="1">
      <c r="A52" t="inlineStr">
        <is>
          <t>A 1426-2019</t>
        </is>
      </c>
      <c r="B52" s="1" t="n">
        <v>43473</v>
      </c>
      <c r="C52" s="1" t="n">
        <v>45362</v>
      </c>
      <c r="D52" t="inlineStr">
        <is>
          <t>GÄVLEBORGS LÄN</t>
        </is>
      </c>
      <c r="E52" t="inlineStr">
        <is>
          <t>HOFORS</t>
        </is>
      </c>
      <c r="G52" t="n">
        <v>1.6</v>
      </c>
      <c r="H52" t="n">
        <v>0</v>
      </c>
      <c r="I52" t="n">
        <v>0</v>
      </c>
      <c r="J52" t="n">
        <v>0</v>
      </c>
      <c r="K52" t="n">
        <v>0</v>
      </c>
      <c r="L52" t="n">
        <v>0</v>
      </c>
      <c r="M52" t="n">
        <v>0</v>
      </c>
      <c r="N52" t="n">
        <v>0</v>
      </c>
      <c r="O52" t="n">
        <v>0</v>
      </c>
      <c r="P52" t="n">
        <v>0</v>
      </c>
      <c r="Q52" t="n">
        <v>0</v>
      </c>
      <c r="R52" s="2" t="inlineStr"/>
    </row>
    <row r="53" ht="15" customHeight="1">
      <c r="A53" t="inlineStr">
        <is>
          <t>A 3797-2019</t>
        </is>
      </c>
      <c r="B53" s="1" t="n">
        <v>43482</v>
      </c>
      <c r="C53" s="1" t="n">
        <v>45362</v>
      </c>
      <c r="D53" t="inlineStr">
        <is>
          <t>GÄVLEBORGS LÄN</t>
        </is>
      </c>
      <c r="E53" t="inlineStr">
        <is>
          <t>HOFORS</t>
        </is>
      </c>
      <c r="G53" t="n">
        <v>0.6</v>
      </c>
      <c r="H53" t="n">
        <v>0</v>
      </c>
      <c r="I53" t="n">
        <v>0</v>
      </c>
      <c r="J53" t="n">
        <v>0</v>
      </c>
      <c r="K53" t="n">
        <v>0</v>
      </c>
      <c r="L53" t="n">
        <v>0</v>
      </c>
      <c r="M53" t="n">
        <v>0</v>
      </c>
      <c r="N53" t="n">
        <v>0</v>
      </c>
      <c r="O53" t="n">
        <v>0</v>
      </c>
      <c r="P53" t="n">
        <v>0</v>
      </c>
      <c r="Q53" t="n">
        <v>0</v>
      </c>
      <c r="R53" s="2" t="inlineStr"/>
    </row>
    <row r="54" ht="15" customHeight="1">
      <c r="A54" t="inlineStr">
        <is>
          <t>A 3796-2019</t>
        </is>
      </c>
      <c r="B54" s="1" t="n">
        <v>43482</v>
      </c>
      <c r="C54" s="1" t="n">
        <v>45362</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3794-2019</t>
        </is>
      </c>
      <c r="B55" s="1" t="n">
        <v>43482</v>
      </c>
      <c r="C55" s="1" t="n">
        <v>45362</v>
      </c>
      <c r="D55" t="inlineStr">
        <is>
          <t>GÄVLEBORGS LÄN</t>
        </is>
      </c>
      <c r="E55" t="inlineStr">
        <is>
          <t>HOFORS</t>
        </is>
      </c>
      <c r="G55" t="n">
        <v>0.7</v>
      </c>
      <c r="H55" t="n">
        <v>0</v>
      </c>
      <c r="I55" t="n">
        <v>0</v>
      </c>
      <c r="J55" t="n">
        <v>0</v>
      </c>
      <c r="K55" t="n">
        <v>0</v>
      </c>
      <c r="L55" t="n">
        <v>0</v>
      </c>
      <c r="M55" t="n">
        <v>0</v>
      </c>
      <c r="N55" t="n">
        <v>0</v>
      </c>
      <c r="O55" t="n">
        <v>0</v>
      </c>
      <c r="P55" t="n">
        <v>0</v>
      </c>
      <c r="Q55" t="n">
        <v>0</v>
      </c>
      <c r="R55" s="2" t="inlineStr"/>
    </row>
    <row r="56" ht="15" customHeight="1">
      <c r="A56" t="inlineStr">
        <is>
          <t>A 5746-2019</t>
        </is>
      </c>
      <c r="B56" s="1" t="n">
        <v>43490</v>
      </c>
      <c r="C56" s="1" t="n">
        <v>45362</v>
      </c>
      <c r="D56" t="inlineStr">
        <is>
          <t>GÄVLEBORGS LÄN</t>
        </is>
      </c>
      <c r="E56" t="inlineStr">
        <is>
          <t>HOFORS</t>
        </is>
      </c>
      <c r="G56" t="n">
        <v>3.1</v>
      </c>
      <c r="H56" t="n">
        <v>0</v>
      </c>
      <c r="I56" t="n">
        <v>0</v>
      </c>
      <c r="J56" t="n">
        <v>0</v>
      </c>
      <c r="K56" t="n">
        <v>0</v>
      </c>
      <c r="L56" t="n">
        <v>0</v>
      </c>
      <c r="M56" t="n">
        <v>0</v>
      </c>
      <c r="N56" t="n">
        <v>0</v>
      </c>
      <c r="O56" t="n">
        <v>0</v>
      </c>
      <c r="P56" t="n">
        <v>0</v>
      </c>
      <c r="Q56" t="n">
        <v>0</v>
      </c>
      <c r="R56" s="2" t="inlineStr"/>
    </row>
    <row r="57" ht="15" customHeight="1">
      <c r="A57" t="inlineStr">
        <is>
          <t>A 12538-2019</t>
        </is>
      </c>
      <c r="B57" s="1" t="n">
        <v>43524</v>
      </c>
      <c r="C57" s="1" t="n">
        <v>45362</v>
      </c>
      <c r="D57" t="inlineStr">
        <is>
          <t>GÄVLEBORGS LÄN</t>
        </is>
      </c>
      <c r="E57" t="inlineStr">
        <is>
          <t>HOFORS</t>
        </is>
      </c>
      <c r="G57" t="n">
        <v>8.699999999999999</v>
      </c>
      <c r="H57" t="n">
        <v>0</v>
      </c>
      <c r="I57" t="n">
        <v>0</v>
      </c>
      <c r="J57" t="n">
        <v>0</v>
      </c>
      <c r="K57" t="n">
        <v>0</v>
      </c>
      <c r="L57" t="n">
        <v>0</v>
      </c>
      <c r="M57" t="n">
        <v>0</v>
      </c>
      <c r="N57" t="n">
        <v>0</v>
      </c>
      <c r="O57" t="n">
        <v>0</v>
      </c>
      <c r="P57" t="n">
        <v>0</v>
      </c>
      <c r="Q57" t="n">
        <v>0</v>
      </c>
      <c r="R57" s="2" t="inlineStr"/>
    </row>
    <row r="58" ht="15" customHeight="1">
      <c r="A58" t="inlineStr">
        <is>
          <t>A 17691-2019</t>
        </is>
      </c>
      <c r="B58" s="1" t="n">
        <v>43556</v>
      </c>
      <c r="C58" s="1" t="n">
        <v>45362</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45362</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45362</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45362</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45362</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45362</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45362</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45362</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45362</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45362</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45362</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45362</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45362</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45362</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45362</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45362</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45362</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45362</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45362</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45362</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45362</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45362</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45362</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45362</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45362</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45362</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45362</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45362</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45362</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45362</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45362</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45362</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45362</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45362</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45362</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45362</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45362</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45362</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45362</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45362</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45362</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45362</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45362</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45362</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45362</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45362</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45362</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45362</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45362</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45362</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45362</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45362</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45362</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45362</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45362</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45362</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45362</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45362</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45362</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45362</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45362</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45362</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45362</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45362</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45362</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45362</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45362</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45362</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45362</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45362</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45362</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45362</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45362</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45362</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45362</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45362</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45362</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45362</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45362</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45362</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45362</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45362</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45362</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45362</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45362</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45362</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45362</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45362</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45362</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45362</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45362</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45362</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45362</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45362</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45362</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45362</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45362</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45362</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45362</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45362</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45362</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45362</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74349-2021</t>
        </is>
      </c>
      <c r="B160" s="1" t="n">
        <v>44559</v>
      </c>
      <c r="C160" s="1" t="n">
        <v>45362</v>
      </c>
      <c r="D160" t="inlineStr">
        <is>
          <t>GÄVLEBORGS LÄN</t>
        </is>
      </c>
      <c r="E160" t="inlineStr">
        <is>
          <t>HOFORS</t>
        </is>
      </c>
      <c r="G160" t="n">
        <v>1.3</v>
      </c>
      <c r="H160" t="n">
        <v>0</v>
      </c>
      <c r="I160" t="n">
        <v>0</v>
      </c>
      <c r="J160" t="n">
        <v>0</v>
      </c>
      <c r="K160" t="n">
        <v>0</v>
      </c>
      <c r="L160" t="n">
        <v>0</v>
      </c>
      <c r="M160" t="n">
        <v>0</v>
      </c>
      <c r="N160" t="n">
        <v>0</v>
      </c>
      <c r="O160" t="n">
        <v>0</v>
      </c>
      <c r="P160" t="n">
        <v>0</v>
      </c>
      <c r="Q160" t="n">
        <v>0</v>
      </c>
      <c r="R160" s="2" t="inlineStr"/>
    </row>
    <row r="161" ht="15" customHeight="1">
      <c r="A161" t="inlineStr">
        <is>
          <t>A 3052-2022</t>
        </is>
      </c>
      <c r="B161" s="1" t="n">
        <v>44582</v>
      </c>
      <c r="C161" s="1" t="n">
        <v>45362</v>
      </c>
      <c r="D161" t="inlineStr">
        <is>
          <t>GÄVLEBORGS LÄN</t>
        </is>
      </c>
      <c r="E161" t="inlineStr">
        <is>
          <t>HOFORS</t>
        </is>
      </c>
      <c r="G161" t="n">
        <v>0.7</v>
      </c>
      <c r="H161" t="n">
        <v>0</v>
      </c>
      <c r="I161" t="n">
        <v>0</v>
      </c>
      <c r="J161" t="n">
        <v>0</v>
      </c>
      <c r="K161" t="n">
        <v>0</v>
      </c>
      <c r="L161" t="n">
        <v>0</v>
      </c>
      <c r="M161" t="n">
        <v>0</v>
      </c>
      <c r="N161" t="n">
        <v>0</v>
      </c>
      <c r="O161" t="n">
        <v>0</v>
      </c>
      <c r="P161" t="n">
        <v>0</v>
      </c>
      <c r="Q161" t="n">
        <v>0</v>
      </c>
      <c r="R161" s="2" t="inlineStr"/>
    </row>
    <row r="162" ht="15" customHeight="1">
      <c r="A162" t="inlineStr">
        <is>
          <t>A 6560-2022</t>
        </is>
      </c>
      <c r="B162" s="1" t="n">
        <v>44601</v>
      </c>
      <c r="C162" s="1" t="n">
        <v>45362</v>
      </c>
      <c r="D162" t="inlineStr">
        <is>
          <t>GÄVLEBORGS LÄN</t>
        </is>
      </c>
      <c r="E162" t="inlineStr">
        <is>
          <t>HOFORS</t>
        </is>
      </c>
      <c r="G162" t="n">
        <v>12.2</v>
      </c>
      <c r="H162" t="n">
        <v>0</v>
      </c>
      <c r="I162" t="n">
        <v>0</v>
      </c>
      <c r="J162" t="n">
        <v>0</v>
      </c>
      <c r="K162" t="n">
        <v>0</v>
      </c>
      <c r="L162" t="n">
        <v>0</v>
      </c>
      <c r="M162" t="n">
        <v>0</v>
      </c>
      <c r="N162" t="n">
        <v>0</v>
      </c>
      <c r="O162" t="n">
        <v>0</v>
      </c>
      <c r="P162" t="n">
        <v>0</v>
      </c>
      <c r="Q162" t="n">
        <v>0</v>
      </c>
      <c r="R162" s="2" t="inlineStr"/>
    </row>
    <row r="163" ht="15" customHeight="1">
      <c r="A163" t="inlineStr">
        <is>
          <t>A 10184-2022</t>
        </is>
      </c>
      <c r="B163" s="1" t="n">
        <v>44622</v>
      </c>
      <c r="C163" s="1" t="n">
        <v>45362</v>
      </c>
      <c r="D163" t="inlineStr">
        <is>
          <t>GÄVLEBORGS LÄN</t>
        </is>
      </c>
      <c r="E163" t="inlineStr">
        <is>
          <t>HOFORS</t>
        </is>
      </c>
      <c r="G163" t="n">
        <v>3</v>
      </c>
      <c r="H163" t="n">
        <v>0</v>
      </c>
      <c r="I163" t="n">
        <v>0</v>
      </c>
      <c r="J163" t="n">
        <v>0</v>
      </c>
      <c r="K163" t="n">
        <v>0</v>
      </c>
      <c r="L163" t="n">
        <v>0</v>
      </c>
      <c r="M163" t="n">
        <v>0</v>
      </c>
      <c r="N163" t="n">
        <v>0</v>
      </c>
      <c r="O163" t="n">
        <v>0</v>
      </c>
      <c r="P163" t="n">
        <v>0</v>
      </c>
      <c r="Q163" t="n">
        <v>0</v>
      </c>
      <c r="R163" s="2" t="inlineStr"/>
    </row>
    <row r="164" ht="15" customHeight="1">
      <c r="A164" t="inlineStr">
        <is>
          <t>A 10587-2022</t>
        </is>
      </c>
      <c r="B164" s="1" t="n">
        <v>44624</v>
      </c>
      <c r="C164" s="1" t="n">
        <v>45362</v>
      </c>
      <c r="D164" t="inlineStr">
        <is>
          <t>GÄVLEBORGS LÄN</t>
        </is>
      </c>
      <c r="E164" t="inlineStr">
        <is>
          <t>HOFORS</t>
        </is>
      </c>
      <c r="G164" t="n">
        <v>5</v>
      </c>
      <c r="H164" t="n">
        <v>0</v>
      </c>
      <c r="I164" t="n">
        <v>0</v>
      </c>
      <c r="J164" t="n">
        <v>0</v>
      </c>
      <c r="K164" t="n">
        <v>0</v>
      </c>
      <c r="L164" t="n">
        <v>0</v>
      </c>
      <c r="M164" t="n">
        <v>0</v>
      </c>
      <c r="N164" t="n">
        <v>0</v>
      </c>
      <c r="O164" t="n">
        <v>0</v>
      </c>
      <c r="P164" t="n">
        <v>0</v>
      </c>
      <c r="Q164" t="n">
        <v>0</v>
      </c>
      <c r="R164" s="2" t="inlineStr"/>
    </row>
    <row r="165" ht="15" customHeight="1">
      <c r="A165" t="inlineStr">
        <is>
          <t>A 10602-2022</t>
        </is>
      </c>
      <c r="B165" s="1" t="n">
        <v>44624</v>
      </c>
      <c r="C165" s="1" t="n">
        <v>45362</v>
      </c>
      <c r="D165" t="inlineStr">
        <is>
          <t>GÄVLEBORGS LÄN</t>
        </is>
      </c>
      <c r="E165" t="inlineStr">
        <is>
          <t>HOFORS</t>
        </is>
      </c>
      <c r="G165" t="n">
        <v>7</v>
      </c>
      <c r="H165" t="n">
        <v>0</v>
      </c>
      <c r="I165" t="n">
        <v>0</v>
      </c>
      <c r="J165" t="n">
        <v>0</v>
      </c>
      <c r="K165" t="n">
        <v>0</v>
      </c>
      <c r="L165" t="n">
        <v>0</v>
      </c>
      <c r="M165" t="n">
        <v>0</v>
      </c>
      <c r="N165" t="n">
        <v>0</v>
      </c>
      <c r="O165" t="n">
        <v>0</v>
      </c>
      <c r="P165" t="n">
        <v>0</v>
      </c>
      <c r="Q165" t="n">
        <v>0</v>
      </c>
      <c r="R165" s="2" t="inlineStr"/>
    </row>
    <row r="166" ht="15" customHeight="1">
      <c r="A166" t="inlineStr">
        <is>
          <t>A 13807-2022</t>
        </is>
      </c>
      <c r="B166" s="1" t="n">
        <v>44649</v>
      </c>
      <c r="C166" s="1" t="n">
        <v>45362</v>
      </c>
      <c r="D166" t="inlineStr">
        <is>
          <t>GÄVLEBORGS LÄN</t>
        </is>
      </c>
      <c r="E166" t="inlineStr">
        <is>
          <t>HOFORS</t>
        </is>
      </c>
      <c r="G166" t="n">
        <v>1.1</v>
      </c>
      <c r="H166" t="n">
        <v>0</v>
      </c>
      <c r="I166" t="n">
        <v>0</v>
      </c>
      <c r="J166" t="n">
        <v>0</v>
      </c>
      <c r="K166" t="n">
        <v>0</v>
      </c>
      <c r="L166" t="n">
        <v>0</v>
      </c>
      <c r="M166" t="n">
        <v>0</v>
      </c>
      <c r="N166" t="n">
        <v>0</v>
      </c>
      <c r="O166" t="n">
        <v>0</v>
      </c>
      <c r="P166" t="n">
        <v>0</v>
      </c>
      <c r="Q166" t="n">
        <v>0</v>
      </c>
      <c r="R166" s="2" t="inlineStr"/>
    </row>
    <row r="167" ht="15" customHeight="1">
      <c r="A167" t="inlineStr">
        <is>
          <t>A 16371-2022</t>
        </is>
      </c>
      <c r="B167" s="1" t="n">
        <v>44671</v>
      </c>
      <c r="C167" s="1" t="n">
        <v>45362</v>
      </c>
      <c r="D167" t="inlineStr">
        <is>
          <t>GÄVLEBORGS LÄN</t>
        </is>
      </c>
      <c r="E167" t="inlineStr">
        <is>
          <t>HOFORS</t>
        </is>
      </c>
      <c r="G167" t="n">
        <v>0.8</v>
      </c>
      <c r="H167" t="n">
        <v>0</v>
      </c>
      <c r="I167" t="n">
        <v>0</v>
      </c>
      <c r="J167" t="n">
        <v>0</v>
      </c>
      <c r="K167" t="n">
        <v>0</v>
      </c>
      <c r="L167" t="n">
        <v>0</v>
      </c>
      <c r="M167" t="n">
        <v>0</v>
      </c>
      <c r="N167" t="n">
        <v>0</v>
      </c>
      <c r="O167" t="n">
        <v>0</v>
      </c>
      <c r="P167" t="n">
        <v>0</v>
      </c>
      <c r="Q167" t="n">
        <v>0</v>
      </c>
      <c r="R167" s="2" t="inlineStr"/>
    </row>
    <row r="168" ht="15" customHeight="1">
      <c r="A168" t="inlineStr">
        <is>
          <t>A 17762-2022</t>
        </is>
      </c>
      <c r="B168" s="1" t="n">
        <v>44680</v>
      </c>
      <c r="C168" s="1" t="n">
        <v>45362</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19135-2022</t>
        </is>
      </c>
      <c r="B169" s="1" t="n">
        <v>44691</v>
      </c>
      <c r="C169" s="1" t="n">
        <v>45362</v>
      </c>
      <c r="D169" t="inlineStr">
        <is>
          <t>GÄVLEBORGS LÄN</t>
        </is>
      </c>
      <c r="E169" t="inlineStr">
        <is>
          <t>HOFORS</t>
        </is>
      </c>
      <c r="G169" t="n">
        <v>1.5</v>
      </c>
      <c r="H169" t="n">
        <v>0</v>
      </c>
      <c r="I169" t="n">
        <v>0</v>
      </c>
      <c r="J169" t="n">
        <v>0</v>
      </c>
      <c r="K169" t="n">
        <v>0</v>
      </c>
      <c r="L169" t="n">
        <v>0</v>
      </c>
      <c r="M169" t="n">
        <v>0</v>
      </c>
      <c r="N169" t="n">
        <v>0</v>
      </c>
      <c r="O169" t="n">
        <v>0</v>
      </c>
      <c r="P169" t="n">
        <v>0</v>
      </c>
      <c r="Q169" t="n">
        <v>0</v>
      </c>
      <c r="R169" s="2" t="inlineStr"/>
    </row>
    <row r="170" ht="15" customHeight="1">
      <c r="A170" t="inlineStr">
        <is>
          <t>A 19292-2022</t>
        </is>
      </c>
      <c r="B170" s="1" t="n">
        <v>44692</v>
      </c>
      <c r="C170" s="1" t="n">
        <v>45362</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28870-2022</t>
        </is>
      </c>
      <c r="B171" s="1" t="n">
        <v>44749</v>
      </c>
      <c r="C171" s="1" t="n">
        <v>45362</v>
      </c>
      <c r="D171" t="inlineStr">
        <is>
          <t>GÄVLEBORGS LÄN</t>
        </is>
      </c>
      <c r="E171" t="inlineStr">
        <is>
          <t>HOFORS</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31205-2022</t>
        </is>
      </c>
      <c r="B172" s="1" t="n">
        <v>44770</v>
      </c>
      <c r="C172" s="1" t="n">
        <v>45362</v>
      </c>
      <c r="D172" t="inlineStr">
        <is>
          <t>GÄVLEBORGS LÄN</t>
        </is>
      </c>
      <c r="E172" t="inlineStr">
        <is>
          <t>HOFORS</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32330-2022</t>
        </is>
      </c>
      <c r="B173" s="1" t="n">
        <v>44781</v>
      </c>
      <c r="C173" s="1" t="n">
        <v>45362</v>
      </c>
      <c r="D173" t="inlineStr">
        <is>
          <t>GÄVLEBORGS LÄN</t>
        </is>
      </c>
      <c r="E173" t="inlineStr">
        <is>
          <t>HOFORS</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32327-2022</t>
        </is>
      </c>
      <c r="B174" s="1" t="n">
        <v>44781</v>
      </c>
      <c r="C174" s="1" t="n">
        <v>45362</v>
      </c>
      <c r="D174" t="inlineStr">
        <is>
          <t>GÄVLEBORGS LÄN</t>
        </is>
      </c>
      <c r="E174" t="inlineStr">
        <is>
          <t>HOFORS</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33672-2022</t>
        </is>
      </c>
      <c r="B175" s="1" t="n">
        <v>44789</v>
      </c>
      <c r="C175" s="1" t="n">
        <v>45362</v>
      </c>
      <c r="D175" t="inlineStr">
        <is>
          <t>GÄVLEBORGS LÄN</t>
        </is>
      </c>
      <c r="E175" t="inlineStr">
        <is>
          <t>HOFORS</t>
        </is>
      </c>
      <c r="F175" t="inlineStr">
        <is>
          <t>Sveaskog</t>
        </is>
      </c>
      <c r="G175" t="n">
        <v>14.4</v>
      </c>
      <c r="H175" t="n">
        <v>0</v>
      </c>
      <c r="I175" t="n">
        <v>0</v>
      </c>
      <c r="J175" t="n">
        <v>0</v>
      </c>
      <c r="K175" t="n">
        <v>0</v>
      </c>
      <c r="L175" t="n">
        <v>0</v>
      </c>
      <c r="M175" t="n">
        <v>0</v>
      </c>
      <c r="N175" t="n">
        <v>0</v>
      </c>
      <c r="O175" t="n">
        <v>0</v>
      </c>
      <c r="P175" t="n">
        <v>0</v>
      </c>
      <c r="Q175" t="n">
        <v>0</v>
      </c>
      <c r="R175" s="2" t="inlineStr"/>
    </row>
    <row r="176" ht="15" customHeight="1">
      <c r="A176" t="inlineStr">
        <is>
          <t>A 36882-2022</t>
        </is>
      </c>
      <c r="B176" s="1" t="n">
        <v>44805</v>
      </c>
      <c r="C176" s="1" t="n">
        <v>45362</v>
      </c>
      <c r="D176" t="inlineStr">
        <is>
          <t>GÄVLEBORGS LÄN</t>
        </is>
      </c>
      <c r="E176" t="inlineStr">
        <is>
          <t>HOFORS</t>
        </is>
      </c>
      <c r="F176" t="inlineStr">
        <is>
          <t>Sveaskog</t>
        </is>
      </c>
      <c r="G176" t="n">
        <v>7.3</v>
      </c>
      <c r="H176" t="n">
        <v>0</v>
      </c>
      <c r="I176" t="n">
        <v>0</v>
      </c>
      <c r="J176" t="n">
        <v>0</v>
      </c>
      <c r="K176" t="n">
        <v>0</v>
      </c>
      <c r="L176" t="n">
        <v>0</v>
      </c>
      <c r="M176" t="n">
        <v>0</v>
      </c>
      <c r="N176" t="n">
        <v>0</v>
      </c>
      <c r="O176" t="n">
        <v>0</v>
      </c>
      <c r="P176" t="n">
        <v>0</v>
      </c>
      <c r="Q176" t="n">
        <v>0</v>
      </c>
      <c r="R176" s="2" t="inlineStr"/>
    </row>
    <row r="177" ht="15" customHeight="1">
      <c r="A177" t="inlineStr">
        <is>
          <t>A 37680-2022</t>
        </is>
      </c>
      <c r="B177" s="1" t="n">
        <v>44810</v>
      </c>
      <c r="C177" s="1" t="n">
        <v>45362</v>
      </c>
      <c r="D177" t="inlineStr">
        <is>
          <t>GÄVLEBORGS LÄN</t>
        </is>
      </c>
      <c r="E177" t="inlineStr">
        <is>
          <t>HOFORS</t>
        </is>
      </c>
      <c r="G177" t="n">
        <v>6.6</v>
      </c>
      <c r="H177" t="n">
        <v>0</v>
      </c>
      <c r="I177" t="n">
        <v>0</v>
      </c>
      <c r="J177" t="n">
        <v>0</v>
      </c>
      <c r="K177" t="n">
        <v>0</v>
      </c>
      <c r="L177" t="n">
        <v>0</v>
      </c>
      <c r="M177" t="n">
        <v>0</v>
      </c>
      <c r="N177" t="n">
        <v>0</v>
      </c>
      <c r="O177" t="n">
        <v>0</v>
      </c>
      <c r="P177" t="n">
        <v>0</v>
      </c>
      <c r="Q177" t="n">
        <v>0</v>
      </c>
      <c r="R177" s="2" t="inlineStr"/>
    </row>
    <row r="178" ht="15" customHeight="1">
      <c r="A178" t="inlineStr">
        <is>
          <t>A 37743-2022</t>
        </is>
      </c>
      <c r="B178" s="1" t="n">
        <v>44810</v>
      </c>
      <c r="C178" s="1" t="n">
        <v>45362</v>
      </c>
      <c r="D178" t="inlineStr">
        <is>
          <t>GÄVLEBORGS LÄN</t>
        </is>
      </c>
      <c r="E178" t="inlineStr">
        <is>
          <t>HOFORS</t>
        </is>
      </c>
      <c r="G178" t="n">
        <v>1.6</v>
      </c>
      <c r="H178" t="n">
        <v>0</v>
      </c>
      <c r="I178" t="n">
        <v>0</v>
      </c>
      <c r="J178" t="n">
        <v>0</v>
      </c>
      <c r="K178" t="n">
        <v>0</v>
      </c>
      <c r="L178" t="n">
        <v>0</v>
      </c>
      <c r="M178" t="n">
        <v>0</v>
      </c>
      <c r="N178" t="n">
        <v>0</v>
      </c>
      <c r="O178" t="n">
        <v>0</v>
      </c>
      <c r="P178" t="n">
        <v>0</v>
      </c>
      <c r="Q178" t="n">
        <v>0</v>
      </c>
      <c r="R178" s="2" t="inlineStr"/>
    </row>
    <row r="179" ht="15" customHeight="1">
      <c r="A179" t="inlineStr">
        <is>
          <t>A 37767-2022</t>
        </is>
      </c>
      <c r="B179" s="1" t="n">
        <v>44810</v>
      </c>
      <c r="C179" s="1" t="n">
        <v>45362</v>
      </c>
      <c r="D179" t="inlineStr">
        <is>
          <t>GÄVLEBORGS LÄN</t>
        </is>
      </c>
      <c r="E179" t="inlineStr">
        <is>
          <t>HOFORS</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37744-2022</t>
        </is>
      </c>
      <c r="B180" s="1" t="n">
        <v>44810</v>
      </c>
      <c r="C180" s="1" t="n">
        <v>45362</v>
      </c>
      <c r="D180" t="inlineStr">
        <is>
          <t>GÄVLEBORGS LÄN</t>
        </is>
      </c>
      <c r="E180" t="inlineStr">
        <is>
          <t>HOFORS</t>
        </is>
      </c>
      <c r="G180" t="n">
        <v>1.1</v>
      </c>
      <c r="H180" t="n">
        <v>0</v>
      </c>
      <c r="I180" t="n">
        <v>0</v>
      </c>
      <c r="J180" t="n">
        <v>0</v>
      </c>
      <c r="K180" t="n">
        <v>0</v>
      </c>
      <c r="L180" t="n">
        <v>0</v>
      </c>
      <c r="M180" t="n">
        <v>0</v>
      </c>
      <c r="N180" t="n">
        <v>0</v>
      </c>
      <c r="O180" t="n">
        <v>0</v>
      </c>
      <c r="P180" t="n">
        <v>0</v>
      </c>
      <c r="Q180" t="n">
        <v>0</v>
      </c>
      <c r="R180" s="2" t="inlineStr"/>
    </row>
    <row r="181" ht="15" customHeight="1">
      <c r="A181" t="inlineStr">
        <is>
          <t>A 38251-2022</t>
        </is>
      </c>
      <c r="B181" s="1" t="n">
        <v>44812</v>
      </c>
      <c r="C181" s="1" t="n">
        <v>45362</v>
      </c>
      <c r="D181" t="inlineStr">
        <is>
          <t>GÄVLEBORGS LÄN</t>
        </is>
      </c>
      <c r="E181" t="inlineStr">
        <is>
          <t>HOFORS</t>
        </is>
      </c>
      <c r="G181" t="n">
        <v>3.5</v>
      </c>
      <c r="H181" t="n">
        <v>0</v>
      </c>
      <c r="I181" t="n">
        <v>0</v>
      </c>
      <c r="J181" t="n">
        <v>0</v>
      </c>
      <c r="K181" t="n">
        <v>0</v>
      </c>
      <c r="L181" t="n">
        <v>0</v>
      </c>
      <c r="M181" t="n">
        <v>0</v>
      </c>
      <c r="N181" t="n">
        <v>0</v>
      </c>
      <c r="O181" t="n">
        <v>0</v>
      </c>
      <c r="P181" t="n">
        <v>0</v>
      </c>
      <c r="Q181" t="n">
        <v>0</v>
      </c>
      <c r="R181" s="2" t="inlineStr"/>
    </row>
    <row r="182" ht="15" customHeight="1">
      <c r="A182" t="inlineStr">
        <is>
          <t>A 38815-2022</t>
        </is>
      </c>
      <c r="B182" s="1" t="n">
        <v>44816</v>
      </c>
      <c r="C182" s="1" t="n">
        <v>45362</v>
      </c>
      <c r="D182" t="inlineStr">
        <is>
          <t>GÄVLEBORGS LÄN</t>
        </is>
      </c>
      <c r="E182" t="inlineStr">
        <is>
          <t>HOFORS</t>
        </is>
      </c>
      <c r="G182" t="n">
        <v>5.5</v>
      </c>
      <c r="H182" t="n">
        <v>0</v>
      </c>
      <c r="I182" t="n">
        <v>0</v>
      </c>
      <c r="J182" t="n">
        <v>0</v>
      </c>
      <c r="K182" t="n">
        <v>0</v>
      </c>
      <c r="L182" t="n">
        <v>0</v>
      </c>
      <c r="M182" t="n">
        <v>0</v>
      </c>
      <c r="N182" t="n">
        <v>0</v>
      </c>
      <c r="O182" t="n">
        <v>0</v>
      </c>
      <c r="P182" t="n">
        <v>0</v>
      </c>
      <c r="Q182" t="n">
        <v>0</v>
      </c>
      <c r="R182" s="2" t="inlineStr"/>
    </row>
    <row r="183" ht="15" customHeight="1">
      <c r="A183" t="inlineStr">
        <is>
          <t>A 40515-2022</t>
        </is>
      </c>
      <c r="B183" s="1" t="n">
        <v>44823</v>
      </c>
      <c r="C183" s="1" t="n">
        <v>45362</v>
      </c>
      <c r="D183" t="inlineStr">
        <is>
          <t>GÄVLEBORGS LÄN</t>
        </is>
      </c>
      <c r="E183" t="inlineStr">
        <is>
          <t>HOFORS</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40517-2022</t>
        </is>
      </c>
      <c r="B184" s="1" t="n">
        <v>44823</v>
      </c>
      <c r="C184" s="1" t="n">
        <v>45362</v>
      </c>
      <c r="D184" t="inlineStr">
        <is>
          <t>GÄVLEBORGS LÄN</t>
        </is>
      </c>
      <c r="E184" t="inlineStr">
        <is>
          <t>HOFORS</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43610-2022</t>
        </is>
      </c>
      <c r="B185" s="1" t="n">
        <v>44837</v>
      </c>
      <c r="C185" s="1" t="n">
        <v>45362</v>
      </c>
      <c r="D185" t="inlineStr">
        <is>
          <t>GÄVLEBORGS LÄN</t>
        </is>
      </c>
      <c r="E185" t="inlineStr">
        <is>
          <t>HOFORS</t>
        </is>
      </c>
      <c r="F185" t="inlineStr">
        <is>
          <t>Sveaskog</t>
        </is>
      </c>
      <c r="G185" t="n">
        <v>17.6</v>
      </c>
      <c r="H185" t="n">
        <v>0</v>
      </c>
      <c r="I185" t="n">
        <v>0</v>
      </c>
      <c r="J185" t="n">
        <v>0</v>
      </c>
      <c r="K185" t="n">
        <v>0</v>
      </c>
      <c r="L185" t="n">
        <v>0</v>
      </c>
      <c r="M185" t="n">
        <v>0</v>
      </c>
      <c r="N185" t="n">
        <v>0</v>
      </c>
      <c r="O185" t="n">
        <v>0</v>
      </c>
      <c r="P185" t="n">
        <v>0</v>
      </c>
      <c r="Q185" t="n">
        <v>0</v>
      </c>
      <c r="R185" s="2" t="inlineStr"/>
    </row>
    <row r="186" ht="15" customHeight="1">
      <c r="A186" t="inlineStr">
        <is>
          <t>A 43631-2022</t>
        </is>
      </c>
      <c r="B186" s="1" t="n">
        <v>44837</v>
      </c>
      <c r="C186" s="1" t="n">
        <v>45362</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43603-2022</t>
        </is>
      </c>
      <c r="B187" s="1" t="n">
        <v>44837</v>
      </c>
      <c r="C187" s="1" t="n">
        <v>45362</v>
      </c>
      <c r="D187" t="inlineStr">
        <is>
          <t>GÄVLEBORGS LÄN</t>
        </is>
      </c>
      <c r="E187" t="inlineStr">
        <is>
          <t>HOFORS</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51205-2022</t>
        </is>
      </c>
      <c r="B188" s="1" t="n">
        <v>44868</v>
      </c>
      <c r="C188" s="1" t="n">
        <v>45362</v>
      </c>
      <c r="D188" t="inlineStr">
        <is>
          <t>GÄVLEBORGS LÄN</t>
        </is>
      </c>
      <c r="E188" t="inlineStr">
        <is>
          <t>HOFORS</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51202-2022</t>
        </is>
      </c>
      <c r="B189" s="1" t="n">
        <v>44868</v>
      </c>
      <c r="C189" s="1" t="n">
        <v>45362</v>
      </c>
      <c r="D189" t="inlineStr">
        <is>
          <t>GÄVLEBORGS LÄN</t>
        </is>
      </c>
      <c r="E189" t="inlineStr">
        <is>
          <t>HOFORS</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51277-2022</t>
        </is>
      </c>
      <c r="B190" s="1" t="n">
        <v>44868</v>
      </c>
      <c r="C190" s="1" t="n">
        <v>45362</v>
      </c>
      <c r="D190" t="inlineStr">
        <is>
          <t>GÄVLEBORGS LÄN</t>
        </is>
      </c>
      <c r="E190" t="inlineStr">
        <is>
          <t>HOFORS</t>
        </is>
      </c>
      <c r="G190" t="n">
        <v>1.2</v>
      </c>
      <c r="H190" t="n">
        <v>0</v>
      </c>
      <c r="I190" t="n">
        <v>0</v>
      </c>
      <c r="J190" t="n">
        <v>0</v>
      </c>
      <c r="K190" t="n">
        <v>0</v>
      </c>
      <c r="L190" t="n">
        <v>0</v>
      </c>
      <c r="M190" t="n">
        <v>0</v>
      </c>
      <c r="N190" t="n">
        <v>0</v>
      </c>
      <c r="O190" t="n">
        <v>0</v>
      </c>
      <c r="P190" t="n">
        <v>0</v>
      </c>
      <c r="Q190" t="n">
        <v>0</v>
      </c>
      <c r="R190" s="2" t="inlineStr"/>
    </row>
    <row r="191" ht="15" customHeight="1">
      <c r="A191" t="inlineStr">
        <is>
          <t>A 51276-2022</t>
        </is>
      </c>
      <c r="B191" s="1" t="n">
        <v>44868</v>
      </c>
      <c r="C191" s="1" t="n">
        <v>45362</v>
      </c>
      <c r="D191" t="inlineStr">
        <is>
          <t>GÄVLEBORGS LÄN</t>
        </is>
      </c>
      <c r="E191" t="inlineStr">
        <is>
          <t>HOFORS</t>
        </is>
      </c>
      <c r="G191" t="n">
        <v>1.5</v>
      </c>
      <c r="H191" t="n">
        <v>0</v>
      </c>
      <c r="I191" t="n">
        <v>0</v>
      </c>
      <c r="J191" t="n">
        <v>0</v>
      </c>
      <c r="K191" t="n">
        <v>0</v>
      </c>
      <c r="L191" t="n">
        <v>0</v>
      </c>
      <c r="M191" t="n">
        <v>0</v>
      </c>
      <c r="N191" t="n">
        <v>0</v>
      </c>
      <c r="O191" t="n">
        <v>0</v>
      </c>
      <c r="P191" t="n">
        <v>0</v>
      </c>
      <c r="Q191" t="n">
        <v>0</v>
      </c>
      <c r="R191" s="2" t="inlineStr"/>
    </row>
    <row r="192" ht="15" customHeight="1">
      <c r="A192" t="inlineStr">
        <is>
          <t>A 52320-2022</t>
        </is>
      </c>
      <c r="B192" s="1" t="n">
        <v>44873</v>
      </c>
      <c r="C192" s="1" t="n">
        <v>45362</v>
      </c>
      <c r="D192" t="inlineStr">
        <is>
          <t>GÄVLEBORGS LÄN</t>
        </is>
      </c>
      <c r="E192" t="inlineStr">
        <is>
          <t>HOFORS</t>
        </is>
      </c>
      <c r="G192" t="n">
        <v>6.1</v>
      </c>
      <c r="H192" t="n">
        <v>0</v>
      </c>
      <c r="I192" t="n">
        <v>0</v>
      </c>
      <c r="J192" t="n">
        <v>0</v>
      </c>
      <c r="K192" t="n">
        <v>0</v>
      </c>
      <c r="L192" t="n">
        <v>0</v>
      </c>
      <c r="M192" t="n">
        <v>0</v>
      </c>
      <c r="N192" t="n">
        <v>0</v>
      </c>
      <c r="O192" t="n">
        <v>0</v>
      </c>
      <c r="P192" t="n">
        <v>0</v>
      </c>
      <c r="Q192" t="n">
        <v>0</v>
      </c>
      <c r="R192" s="2" t="inlineStr"/>
    </row>
    <row r="193" ht="15" customHeight="1">
      <c r="A193" t="inlineStr">
        <is>
          <t>A 54192-2022</t>
        </is>
      </c>
      <c r="B193" s="1" t="n">
        <v>44881</v>
      </c>
      <c r="C193" s="1" t="n">
        <v>45362</v>
      </c>
      <c r="D193" t="inlineStr">
        <is>
          <t>GÄVLEBORGS LÄN</t>
        </is>
      </c>
      <c r="E193" t="inlineStr">
        <is>
          <t>HOFORS</t>
        </is>
      </c>
      <c r="F193" t="inlineStr">
        <is>
          <t>Sveaskog</t>
        </is>
      </c>
      <c r="G193" t="n">
        <v>2.4</v>
      </c>
      <c r="H193" t="n">
        <v>0</v>
      </c>
      <c r="I193" t="n">
        <v>0</v>
      </c>
      <c r="J193" t="n">
        <v>0</v>
      </c>
      <c r="K193" t="n">
        <v>0</v>
      </c>
      <c r="L193" t="n">
        <v>0</v>
      </c>
      <c r="M193" t="n">
        <v>0</v>
      </c>
      <c r="N193" t="n">
        <v>0</v>
      </c>
      <c r="O193" t="n">
        <v>0</v>
      </c>
      <c r="P193" t="n">
        <v>0</v>
      </c>
      <c r="Q193" t="n">
        <v>0</v>
      </c>
      <c r="R193" s="2" t="inlineStr"/>
    </row>
    <row r="194" ht="15" customHeight="1">
      <c r="A194" t="inlineStr">
        <is>
          <t>A 54191-2022</t>
        </is>
      </c>
      <c r="B194" s="1" t="n">
        <v>44881</v>
      </c>
      <c r="C194" s="1" t="n">
        <v>45362</v>
      </c>
      <c r="D194" t="inlineStr">
        <is>
          <t>GÄVLEBORGS LÄN</t>
        </is>
      </c>
      <c r="E194" t="inlineStr">
        <is>
          <t>HOFORS</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54616-2022</t>
        </is>
      </c>
      <c r="B195" s="1" t="n">
        <v>44883</v>
      </c>
      <c r="C195" s="1" t="n">
        <v>45362</v>
      </c>
      <c r="D195" t="inlineStr">
        <is>
          <t>GÄVLEBORGS LÄN</t>
        </is>
      </c>
      <c r="E195" t="inlineStr">
        <is>
          <t>HOFORS</t>
        </is>
      </c>
      <c r="F195" t="inlineStr">
        <is>
          <t>Kyrkan</t>
        </is>
      </c>
      <c r="G195" t="n">
        <v>4.8</v>
      </c>
      <c r="H195" t="n">
        <v>0</v>
      </c>
      <c r="I195" t="n">
        <v>0</v>
      </c>
      <c r="J195" t="n">
        <v>0</v>
      </c>
      <c r="K195" t="n">
        <v>0</v>
      </c>
      <c r="L195" t="n">
        <v>0</v>
      </c>
      <c r="M195" t="n">
        <v>0</v>
      </c>
      <c r="N195" t="n">
        <v>0</v>
      </c>
      <c r="O195" t="n">
        <v>0</v>
      </c>
      <c r="P195" t="n">
        <v>0</v>
      </c>
      <c r="Q195" t="n">
        <v>0</v>
      </c>
      <c r="R195" s="2" t="inlineStr"/>
    </row>
    <row r="196" ht="15" customHeight="1">
      <c r="A196" t="inlineStr">
        <is>
          <t>A 57971-2022</t>
        </is>
      </c>
      <c r="B196" s="1" t="n">
        <v>44900</v>
      </c>
      <c r="C196" s="1" t="n">
        <v>45362</v>
      </c>
      <c r="D196" t="inlineStr">
        <is>
          <t>GÄVLEBORGS LÄN</t>
        </is>
      </c>
      <c r="E196" t="inlineStr">
        <is>
          <t>HOFORS</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59567-2022</t>
        </is>
      </c>
      <c r="B197" s="1" t="n">
        <v>44907</v>
      </c>
      <c r="C197" s="1" t="n">
        <v>45362</v>
      </c>
      <c r="D197" t="inlineStr">
        <is>
          <t>GÄVLEBORGS LÄN</t>
        </is>
      </c>
      <c r="E197" t="inlineStr">
        <is>
          <t>HOFORS</t>
        </is>
      </c>
      <c r="G197" t="n">
        <v>1.4</v>
      </c>
      <c r="H197" t="n">
        <v>0</v>
      </c>
      <c r="I197" t="n">
        <v>0</v>
      </c>
      <c r="J197" t="n">
        <v>0</v>
      </c>
      <c r="K197" t="n">
        <v>0</v>
      </c>
      <c r="L197" t="n">
        <v>0</v>
      </c>
      <c r="M197" t="n">
        <v>0</v>
      </c>
      <c r="N197" t="n">
        <v>0</v>
      </c>
      <c r="O197" t="n">
        <v>0</v>
      </c>
      <c r="P197" t="n">
        <v>0</v>
      </c>
      <c r="Q197" t="n">
        <v>0</v>
      </c>
      <c r="R197" s="2" t="inlineStr"/>
    </row>
    <row r="198" ht="15" customHeight="1">
      <c r="A198" t="inlineStr">
        <is>
          <t>A 234-2023</t>
        </is>
      </c>
      <c r="B198" s="1" t="n">
        <v>44928</v>
      </c>
      <c r="C198" s="1" t="n">
        <v>45362</v>
      </c>
      <c r="D198" t="inlineStr">
        <is>
          <t>GÄVLEBORGS LÄN</t>
        </is>
      </c>
      <c r="E198" t="inlineStr">
        <is>
          <t>HOFORS</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4451-2023</t>
        </is>
      </c>
      <c r="B199" s="1" t="n">
        <v>44956</v>
      </c>
      <c r="C199" s="1" t="n">
        <v>45362</v>
      </c>
      <c r="D199" t="inlineStr">
        <is>
          <t>GÄVLEBORGS LÄN</t>
        </is>
      </c>
      <c r="E199" t="inlineStr">
        <is>
          <t>HOFORS</t>
        </is>
      </c>
      <c r="G199" t="n">
        <v>5.1</v>
      </c>
      <c r="H199" t="n">
        <v>0</v>
      </c>
      <c r="I199" t="n">
        <v>0</v>
      </c>
      <c r="J199" t="n">
        <v>0</v>
      </c>
      <c r="K199" t="n">
        <v>0</v>
      </c>
      <c r="L199" t="n">
        <v>0</v>
      </c>
      <c r="M199" t="n">
        <v>0</v>
      </c>
      <c r="N199" t="n">
        <v>0</v>
      </c>
      <c r="O199" t="n">
        <v>0</v>
      </c>
      <c r="P199" t="n">
        <v>0</v>
      </c>
      <c r="Q199" t="n">
        <v>0</v>
      </c>
      <c r="R199" s="2" t="inlineStr"/>
    </row>
    <row r="200" ht="15" customHeight="1">
      <c r="A200" t="inlineStr">
        <is>
          <t>A 6929-2023</t>
        </is>
      </c>
      <c r="B200" s="1" t="n">
        <v>44967</v>
      </c>
      <c r="C200" s="1" t="n">
        <v>45362</v>
      </c>
      <c r="D200" t="inlineStr">
        <is>
          <t>GÄVLEBORGS LÄN</t>
        </is>
      </c>
      <c r="E200" t="inlineStr">
        <is>
          <t>HOFORS</t>
        </is>
      </c>
      <c r="G200" t="n">
        <v>0.9</v>
      </c>
      <c r="H200" t="n">
        <v>0</v>
      </c>
      <c r="I200" t="n">
        <v>0</v>
      </c>
      <c r="J200" t="n">
        <v>0</v>
      </c>
      <c r="K200" t="n">
        <v>0</v>
      </c>
      <c r="L200" t="n">
        <v>0</v>
      </c>
      <c r="M200" t="n">
        <v>0</v>
      </c>
      <c r="N200" t="n">
        <v>0</v>
      </c>
      <c r="O200" t="n">
        <v>0</v>
      </c>
      <c r="P200" t="n">
        <v>0</v>
      </c>
      <c r="Q200" t="n">
        <v>0</v>
      </c>
      <c r="R200" s="2" t="inlineStr"/>
    </row>
    <row r="201" ht="15" customHeight="1">
      <c r="A201" t="inlineStr">
        <is>
          <t>A 8510-2023</t>
        </is>
      </c>
      <c r="B201" s="1" t="n">
        <v>44977</v>
      </c>
      <c r="C201" s="1" t="n">
        <v>45362</v>
      </c>
      <c r="D201" t="inlineStr">
        <is>
          <t>GÄVLEBORGS LÄN</t>
        </is>
      </c>
      <c r="E201" t="inlineStr">
        <is>
          <t>HOFORS</t>
        </is>
      </c>
      <c r="G201" t="n">
        <v>0.4</v>
      </c>
      <c r="H201" t="n">
        <v>0</v>
      </c>
      <c r="I201" t="n">
        <v>0</v>
      </c>
      <c r="J201" t="n">
        <v>0</v>
      </c>
      <c r="K201" t="n">
        <v>0</v>
      </c>
      <c r="L201" t="n">
        <v>0</v>
      </c>
      <c r="M201" t="n">
        <v>0</v>
      </c>
      <c r="N201" t="n">
        <v>0</v>
      </c>
      <c r="O201" t="n">
        <v>0</v>
      </c>
      <c r="P201" t="n">
        <v>0</v>
      </c>
      <c r="Q201" t="n">
        <v>0</v>
      </c>
      <c r="R201" s="2" t="inlineStr"/>
    </row>
    <row r="202" ht="15" customHeight="1">
      <c r="A202" t="inlineStr">
        <is>
          <t>A 10161-2023</t>
        </is>
      </c>
      <c r="B202" s="1" t="n">
        <v>44986</v>
      </c>
      <c r="C202" s="1" t="n">
        <v>45362</v>
      </c>
      <c r="D202" t="inlineStr">
        <is>
          <t>GÄVLEBORGS LÄN</t>
        </is>
      </c>
      <c r="E202" t="inlineStr">
        <is>
          <t>HOFORS</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11607-2023</t>
        </is>
      </c>
      <c r="B203" s="1" t="n">
        <v>44994</v>
      </c>
      <c r="C203" s="1" t="n">
        <v>45362</v>
      </c>
      <c r="D203" t="inlineStr">
        <is>
          <t>GÄVLEBORGS LÄN</t>
        </is>
      </c>
      <c r="E203" t="inlineStr">
        <is>
          <t>HOFORS</t>
        </is>
      </c>
      <c r="F203" t="inlineStr">
        <is>
          <t>Övriga statliga verk och myndigheter</t>
        </is>
      </c>
      <c r="G203" t="n">
        <v>1.1</v>
      </c>
      <c r="H203" t="n">
        <v>0</v>
      </c>
      <c r="I203" t="n">
        <v>0</v>
      </c>
      <c r="J203" t="n">
        <v>0</v>
      </c>
      <c r="K203" t="n">
        <v>0</v>
      </c>
      <c r="L203" t="n">
        <v>0</v>
      </c>
      <c r="M203" t="n">
        <v>0</v>
      </c>
      <c r="N203" t="n">
        <v>0</v>
      </c>
      <c r="O203" t="n">
        <v>0</v>
      </c>
      <c r="P203" t="n">
        <v>0</v>
      </c>
      <c r="Q203" t="n">
        <v>0</v>
      </c>
      <c r="R203" s="2" t="inlineStr"/>
    </row>
    <row r="204" ht="15" customHeight="1">
      <c r="A204" t="inlineStr">
        <is>
          <t>A 13742-2023</t>
        </is>
      </c>
      <c r="B204" s="1" t="n">
        <v>45007</v>
      </c>
      <c r="C204" s="1" t="n">
        <v>45362</v>
      </c>
      <c r="D204" t="inlineStr">
        <is>
          <t>GÄVLEBORGS LÄN</t>
        </is>
      </c>
      <c r="E204" t="inlineStr">
        <is>
          <t>HOFORS</t>
        </is>
      </c>
      <c r="F204" t="inlineStr">
        <is>
          <t>Övriga statliga verk och myndigheter</t>
        </is>
      </c>
      <c r="G204" t="n">
        <v>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45362</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45362</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45362</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45362</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45362</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45362</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45362</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45362</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45362</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45362</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45362</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45362</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45362</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45362</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45362</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45362</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45362</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45362</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45362</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45362</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45362</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45362</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45362</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45362</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45362</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45362</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45362</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45362</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45362</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45362</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45362</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45362</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45362</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45362</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45362</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45362</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45362</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45362</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45362</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45362</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45362</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45362</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45362</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45362</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45362</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45362</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45362</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45362</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45362</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45362</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45362</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45362</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45362</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45362</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45362</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45362</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45362</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45362</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45362</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45362</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45362</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45362</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45362</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45362</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45362</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45362</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45362</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45362</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45362</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45362</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45362</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59886-2023</t>
        </is>
      </c>
      <c r="B276" s="1" t="n">
        <v>45257</v>
      </c>
      <c r="C276" s="1" t="n">
        <v>45362</v>
      </c>
      <c r="D276" t="inlineStr">
        <is>
          <t>GÄVLEBORGS LÄN</t>
        </is>
      </c>
      <c r="E276" t="inlineStr">
        <is>
          <t>HOFORS</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59882-2023</t>
        </is>
      </c>
      <c r="B277" s="1" t="n">
        <v>45257</v>
      </c>
      <c r="C277" s="1" t="n">
        <v>45362</v>
      </c>
      <c r="D277" t="inlineStr">
        <is>
          <t>GÄVLEBORGS LÄN</t>
        </is>
      </c>
      <c r="E277" t="inlineStr">
        <is>
          <t>HOFORS</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60705-2023</t>
        </is>
      </c>
      <c r="B278" s="1" t="n">
        <v>45260</v>
      </c>
      <c r="C278" s="1" t="n">
        <v>45362</v>
      </c>
      <c r="D278" t="inlineStr">
        <is>
          <t>GÄVLEBORGS LÄN</t>
        </is>
      </c>
      <c r="E278" t="inlineStr">
        <is>
          <t>HOFORS</t>
        </is>
      </c>
      <c r="G278" t="n">
        <v>3.1</v>
      </c>
      <c r="H278" t="n">
        <v>0</v>
      </c>
      <c r="I278" t="n">
        <v>0</v>
      </c>
      <c r="J278" t="n">
        <v>0</v>
      </c>
      <c r="K278" t="n">
        <v>0</v>
      </c>
      <c r="L278" t="n">
        <v>0</v>
      </c>
      <c r="M278" t="n">
        <v>0</v>
      </c>
      <c r="N278" t="n">
        <v>0</v>
      </c>
      <c r="O278" t="n">
        <v>0</v>
      </c>
      <c r="P278" t="n">
        <v>0</v>
      </c>
      <c r="Q278" t="n">
        <v>0</v>
      </c>
      <c r="R278" s="2" t="inlineStr"/>
    </row>
    <row r="279" ht="15" customHeight="1">
      <c r="A279" t="inlineStr">
        <is>
          <t>A 60610-2023</t>
        </is>
      </c>
      <c r="B279" s="1" t="n">
        <v>45260</v>
      </c>
      <c r="C279" s="1" t="n">
        <v>45362</v>
      </c>
      <c r="D279" t="inlineStr">
        <is>
          <t>GÄVLEBORGS LÄN</t>
        </is>
      </c>
      <c r="E279" t="inlineStr">
        <is>
          <t>HOFORS</t>
        </is>
      </c>
      <c r="G279" t="n">
        <v>3.3</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45362</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45362</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45362</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45362</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45362</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45362</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127-2024</t>
        </is>
      </c>
      <c r="B286" s="1" t="n">
        <v>45294</v>
      </c>
      <c r="C286" s="1" t="n">
        <v>45362</v>
      </c>
      <c r="D286" t="inlineStr">
        <is>
          <t>GÄVLEBORGS LÄN</t>
        </is>
      </c>
      <c r="E286" t="inlineStr">
        <is>
          <t>HOFORS</t>
        </is>
      </c>
      <c r="F286" t="inlineStr">
        <is>
          <t>Sveaskog</t>
        </is>
      </c>
      <c r="G286" t="n">
        <v>20.4</v>
      </c>
      <c r="H286" t="n">
        <v>0</v>
      </c>
      <c r="I286" t="n">
        <v>0</v>
      </c>
      <c r="J286" t="n">
        <v>0</v>
      </c>
      <c r="K286" t="n">
        <v>0</v>
      </c>
      <c r="L286" t="n">
        <v>0</v>
      </c>
      <c r="M286" t="n">
        <v>0</v>
      </c>
      <c r="N286" t="n">
        <v>0</v>
      </c>
      <c r="O286" t="n">
        <v>0</v>
      </c>
      <c r="P286" t="n">
        <v>0</v>
      </c>
      <c r="Q286" t="n">
        <v>0</v>
      </c>
      <c r="R286" s="2" t="inlineStr"/>
    </row>
    <row r="287" ht="15" customHeight="1">
      <c r="A287" t="inlineStr">
        <is>
          <t>A 118-2024</t>
        </is>
      </c>
      <c r="B287" s="1" t="n">
        <v>45294</v>
      </c>
      <c r="C287" s="1" t="n">
        <v>45362</v>
      </c>
      <c r="D287" t="inlineStr">
        <is>
          <t>GÄVLEBORGS LÄN</t>
        </is>
      </c>
      <c r="E287" t="inlineStr">
        <is>
          <t>HOFORS</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45362</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45362</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45362</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45362</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45362</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45362</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45362</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45362</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45362</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45362</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45362</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7543-2024</t>
        </is>
      </c>
      <c r="B299" s="1" t="n">
        <v>45348</v>
      </c>
      <c r="C299" s="1" t="n">
        <v>45362</v>
      </c>
      <c r="D299" t="inlineStr">
        <is>
          <t>GÄVLEBORGS LÄN</t>
        </is>
      </c>
      <c r="E299" t="inlineStr">
        <is>
          <t>HOFORS</t>
        </is>
      </c>
      <c r="G299" t="n">
        <v>3.2</v>
      </c>
      <c r="H299" t="n">
        <v>0</v>
      </c>
      <c r="I299" t="n">
        <v>0</v>
      </c>
      <c r="J299" t="n">
        <v>0</v>
      </c>
      <c r="K299" t="n">
        <v>0</v>
      </c>
      <c r="L299" t="n">
        <v>0</v>
      </c>
      <c r="M299" t="n">
        <v>0</v>
      </c>
      <c r="N299" t="n">
        <v>0</v>
      </c>
      <c r="O299" t="n">
        <v>0</v>
      </c>
      <c r="P299" t="n">
        <v>0</v>
      </c>
      <c r="Q299" t="n">
        <v>0</v>
      </c>
      <c r="R299" s="2" t="inlineStr"/>
    </row>
    <row r="300">
      <c r="A300" t="inlineStr">
        <is>
          <t>A 7547-2024</t>
        </is>
      </c>
      <c r="B300" s="1" t="n">
        <v>45348</v>
      </c>
      <c r="C300" s="1" t="n">
        <v>45362</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2024-03-11T13:49:11Z</dcterms:created>
  <dcterms:modified xmlns:dcterms="http://purl.org/dc/terms/" xmlns:xsi="http://www.w3.org/2001/XMLSchema-instance" xsi:type="dcterms:W3CDTF">2024-03-11T13:49:11Z</dcterms:modified>
</cp:coreProperties>
</file>