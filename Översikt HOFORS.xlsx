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45471</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45471</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45471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45471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45471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45471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45471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45471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45471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45471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45471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45471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45471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45471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45471</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45471</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45471</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45471</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45471</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45471</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45471</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45471</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45471</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45471</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45471</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45471</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45471</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45471</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45471</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45471</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45471</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45471</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45471</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234-2023</t>
        </is>
      </c>
      <c r="B37" s="1" t="n">
        <v>44928</v>
      </c>
      <c r="C37" s="1" t="n">
        <v>45471</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13742-2023</t>
        </is>
      </c>
      <c r="B38" s="1" t="n">
        <v>45007</v>
      </c>
      <c r="C38" s="1" t="n">
        <v>45471</v>
      </c>
      <c r="D38" t="inlineStr">
        <is>
          <t>GÄVLEBORGS LÄN</t>
        </is>
      </c>
      <c r="E38" t="inlineStr">
        <is>
          <t>HOFORS</t>
        </is>
      </c>
      <c r="F38" t="inlineStr">
        <is>
          <t>Övriga statliga verk och myndigheter</t>
        </is>
      </c>
      <c r="G38" t="n">
        <v>1</v>
      </c>
      <c r="H38" t="n">
        <v>1</v>
      </c>
      <c r="I38" t="n">
        <v>0</v>
      </c>
      <c r="J38" t="n">
        <v>1</v>
      </c>
      <c r="K38" t="n">
        <v>0</v>
      </c>
      <c r="L38" t="n">
        <v>0</v>
      </c>
      <c r="M38" t="n">
        <v>0</v>
      </c>
      <c r="N38" t="n">
        <v>0</v>
      </c>
      <c r="O38" t="n">
        <v>1</v>
      </c>
      <c r="P38" t="n">
        <v>0</v>
      </c>
      <c r="Q38" t="n">
        <v>1</v>
      </c>
      <c r="R38" s="2" t="inlineStr">
        <is>
          <t>Spillkråka</t>
        </is>
      </c>
      <c r="S38">
        <f>HYPERLINK("https://klasma.github.io/Logging_2104/artfynd/A 13742-2023 artfynd.xlsx", "A 13742-2023")</f>
        <v/>
      </c>
      <c r="T38">
        <f>HYPERLINK("https://klasma.github.io/Logging_2104/kartor/A 13742-2023 karta.png", "A 13742-2023")</f>
        <v/>
      </c>
      <c r="V38">
        <f>HYPERLINK("https://klasma.github.io/Logging_2104/klagomål/A 13742-2023 FSC-klagomål.docx", "A 13742-2023")</f>
        <v/>
      </c>
      <c r="W38">
        <f>HYPERLINK("https://klasma.github.io/Logging_2104/klagomålsmail/A 13742-2023 FSC-klagomål mail.docx", "A 13742-2023")</f>
        <v/>
      </c>
      <c r="X38">
        <f>HYPERLINK("https://klasma.github.io/Logging_2104/tillsyn/A 13742-2023 tillsynsbegäran.docx", "A 13742-2023")</f>
        <v/>
      </c>
      <c r="Y38">
        <f>HYPERLINK("https://klasma.github.io/Logging_2104/tillsynsmail/A 13742-2023 tillsynsbegäran mail.docx", "A 13742-2023")</f>
        <v/>
      </c>
      <c r="Z38">
        <f>HYPERLINK("https://klasma.github.io/Logging_2104/fåglar/A 13742-2023 prioriterade fågelarter.docx", "A 13742-2023")</f>
        <v/>
      </c>
    </row>
    <row r="39" ht="15" customHeight="1">
      <c r="A39" t="inlineStr">
        <is>
          <t>A 13741-2023</t>
        </is>
      </c>
      <c r="B39" s="1" t="n">
        <v>45007</v>
      </c>
      <c r="C39" s="1" t="n">
        <v>45471</v>
      </c>
      <c r="D39" t="inlineStr">
        <is>
          <t>GÄVLEBORGS LÄN</t>
        </is>
      </c>
      <c r="E39" t="inlineStr">
        <is>
          <t>HOFORS</t>
        </is>
      </c>
      <c r="F39" t="inlineStr">
        <is>
          <t>Övriga statliga verk och myndigheter</t>
        </is>
      </c>
      <c r="G39" t="n">
        <v>1.6</v>
      </c>
      <c r="H39" t="n">
        <v>0</v>
      </c>
      <c r="I39" t="n">
        <v>1</v>
      </c>
      <c r="J39" t="n">
        <v>0</v>
      </c>
      <c r="K39" t="n">
        <v>0</v>
      </c>
      <c r="L39" t="n">
        <v>0</v>
      </c>
      <c r="M39" t="n">
        <v>0</v>
      </c>
      <c r="N39" t="n">
        <v>0</v>
      </c>
      <c r="O39" t="n">
        <v>0</v>
      </c>
      <c r="P39" t="n">
        <v>0</v>
      </c>
      <c r="Q39" t="n">
        <v>1</v>
      </c>
      <c r="R39" s="2" t="inlineStr">
        <is>
          <t>Skarp dropptaggsvamp</t>
        </is>
      </c>
      <c r="S39">
        <f>HYPERLINK("https://klasma.github.io/Logging_2104/artfynd/A 13741-2023 artfynd.xlsx", "A 13741-2023")</f>
        <v/>
      </c>
      <c r="T39">
        <f>HYPERLINK("https://klasma.github.io/Logging_2104/kartor/A 13741-2023 karta.png", "A 13741-2023")</f>
        <v/>
      </c>
      <c r="V39">
        <f>HYPERLINK("https://klasma.github.io/Logging_2104/klagomål/A 13741-2023 FSC-klagomål.docx", "A 13741-2023")</f>
        <v/>
      </c>
      <c r="W39">
        <f>HYPERLINK("https://klasma.github.io/Logging_2104/klagomålsmail/A 13741-2023 FSC-klagomål mail.docx", "A 13741-2023")</f>
        <v/>
      </c>
      <c r="X39">
        <f>HYPERLINK("https://klasma.github.io/Logging_2104/tillsyn/A 13741-2023 tillsynsbegäran.docx", "A 13741-2023")</f>
        <v/>
      </c>
      <c r="Y39">
        <f>HYPERLINK("https://klasma.github.io/Logging_2104/tillsynsmail/A 13741-2023 tillsynsbegäran mail.docx", "A 13741-2023")</f>
        <v/>
      </c>
    </row>
    <row r="40" ht="15" customHeight="1">
      <c r="A40" t="inlineStr">
        <is>
          <t>A 14358-2023</t>
        </is>
      </c>
      <c r="B40" s="1" t="n">
        <v>45012</v>
      </c>
      <c r="C40" s="1" t="n">
        <v>45471</v>
      </c>
      <c r="D40" t="inlineStr">
        <is>
          <t>GÄVLEBORGS LÄN</t>
        </is>
      </c>
      <c r="E40" t="inlineStr">
        <is>
          <t>HOFORS</t>
        </is>
      </c>
      <c r="F40" t="inlineStr">
        <is>
          <t>Övriga statliga verk och myndigheter</t>
        </is>
      </c>
      <c r="G40" t="n">
        <v>1.2</v>
      </c>
      <c r="H40" t="n">
        <v>0</v>
      </c>
      <c r="I40" t="n">
        <v>1</v>
      </c>
      <c r="J40" t="n">
        <v>0</v>
      </c>
      <c r="K40" t="n">
        <v>0</v>
      </c>
      <c r="L40" t="n">
        <v>0</v>
      </c>
      <c r="M40" t="n">
        <v>0</v>
      </c>
      <c r="N40" t="n">
        <v>0</v>
      </c>
      <c r="O40" t="n">
        <v>0</v>
      </c>
      <c r="P40" t="n">
        <v>0</v>
      </c>
      <c r="Q40" t="n">
        <v>1</v>
      </c>
      <c r="R40" s="2" t="inlineStr">
        <is>
          <t>Bronshjon</t>
        </is>
      </c>
      <c r="S40">
        <f>HYPERLINK("https://klasma.github.io/Logging_2104/artfynd/A 14358-2023 artfynd.xlsx", "A 14358-2023")</f>
        <v/>
      </c>
      <c r="T40">
        <f>HYPERLINK("https://klasma.github.io/Logging_2104/kartor/A 14358-2023 karta.png", "A 14358-2023")</f>
        <v/>
      </c>
      <c r="V40">
        <f>HYPERLINK("https://klasma.github.io/Logging_2104/klagomål/A 14358-2023 FSC-klagomål.docx", "A 14358-2023")</f>
        <v/>
      </c>
      <c r="W40">
        <f>HYPERLINK("https://klasma.github.io/Logging_2104/klagomålsmail/A 14358-2023 FSC-klagomål mail.docx", "A 14358-2023")</f>
        <v/>
      </c>
      <c r="X40">
        <f>HYPERLINK("https://klasma.github.io/Logging_2104/tillsyn/A 14358-2023 tillsynsbegäran.docx", "A 14358-2023")</f>
        <v/>
      </c>
      <c r="Y40">
        <f>HYPERLINK("https://klasma.github.io/Logging_2104/tillsynsmail/A 14358-2023 tillsynsbegäran mail.docx", "A 14358-2023")</f>
        <v/>
      </c>
    </row>
    <row r="41" ht="15" customHeight="1">
      <c r="A41" t="inlineStr">
        <is>
          <t>A 18683-2023</t>
        </is>
      </c>
      <c r="B41" s="1" t="n">
        <v>45043</v>
      </c>
      <c r="C41" s="1" t="n">
        <v>45471</v>
      </c>
      <c r="D41" t="inlineStr">
        <is>
          <t>GÄVLEBORGS LÄN</t>
        </is>
      </c>
      <c r="E41" t="inlineStr">
        <is>
          <t>HOFORS</t>
        </is>
      </c>
      <c r="G41" t="n">
        <v>32.2</v>
      </c>
      <c r="H41" t="n">
        <v>1</v>
      </c>
      <c r="I41" t="n">
        <v>0</v>
      </c>
      <c r="J41" t="n">
        <v>0</v>
      </c>
      <c r="K41" t="n">
        <v>0</v>
      </c>
      <c r="L41" t="n">
        <v>0</v>
      </c>
      <c r="M41" t="n">
        <v>0</v>
      </c>
      <c r="N41" t="n">
        <v>0</v>
      </c>
      <c r="O41" t="n">
        <v>0</v>
      </c>
      <c r="P41" t="n">
        <v>0</v>
      </c>
      <c r="Q41" t="n">
        <v>1</v>
      </c>
      <c r="R41" s="2" t="inlineStr">
        <is>
          <t>Blåsippa</t>
        </is>
      </c>
      <c r="S41">
        <f>HYPERLINK("https://klasma.github.io/Logging_2104/artfynd/A 18683-2023 artfynd.xlsx", "A 18683-2023")</f>
        <v/>
      </c>
      <c r="T41">
        <f>HYPERLINK("https://klasma.github.io/Logging_2104/kartor/A 18683-2023 karta.png", "A 18683-2023")</f>
        <v/>
      </c>
      <c r="V41">
        <f>HYPERLINK("https://klasma.github.io/Logging_2104/klagomål/A 18683-2023 FSC-klagomål.docx", "A 18683-2023")</f>
        <v/>
      </c>
      <c r="W41">
        <f>HYPERLINK("https://klasma.github.io/Logging_2104/klagomålsmail/A 18683-2023 FSC-klagomål mail.docx", "A 18683-2023")</f>
        <v/>
      </c>
      <c r="X41">
        <f>HYPERLINK("https://klasma.github.io/Logging_2104/tillsyn/A 18683-2023 tillsynsbegäran.docx", "A 18683-2023")</f>
        <v/>
      </c>
      <c r="Y41">
        <f>HYPERLINK("https://klasma.github.io/Logging_2104/tillsynsmail/A 18683-2023 tillsynsbegäran mail.docx", "A 18683-2023")</f>
        <v/>
      </c>
    </row>
    <row r="42" ht="15" customHeight="1">
      <c r="A42" t="inlineStr">
        <is>
          <t>A 21030-2023</t>
        </is>
      </c>
      <c r="B42" s="1" t="n">
        <v>45061</v>
      </c>
      <c r="C42" s="1" t="n">
        <v>45471</v>
      </c>
      <c r="D42" t="inlineStr">
        <is>
          <t>GÄVLEBORGS LÄN</t>
        </is>
      </c>
      <c r="E42" t="inlineStr">
        <is>
          <t>HOFORS</t>
        </is>
      </c>
      <c r="G42" t="n">
        <v>6.8</v>
      </c>
      <c r="H42" t="n">
        <v>1</v>
      </c>
      <c r="I42" t="n">
        <v>0</v>
      </c>
      <c r="J42" t="n">
        <v>0</v>
      </c>
      <c r="K42" t="n">
        <v>1</v>
      </c>
      <c r="L42" t="n">
        <v>0</v>
      </c>
      <c r="M42" t="n">
        <v>0</v>
      </c>
      <c r="N42" t="n">
        <v>0</v>
      </c>
      <c r="O42" t="n">
        <v>1</v>
      </c>
      <c r="P42" t="n">
        <v>1</v>
      </c>
      <c r="Q42" t="n">
        <v>1</v>
      </c>
      <c r="R42" s="2" t="inlineStr">
        <is>
          <t>Havstrut</t>
        </is>
      </c>
      <c r="S42">
        <f>HYPERLINK("https://klasma.github.io/Logging_2104/artfynd/A 21030-2023 artfynd.xlsx", "A 21030-2023")</f>
        <v/>
      </c>
      <c r="T42">
        <f>HYPERLINK("https://klasma.github.io/Logging_2104/kartor/A 21030-2023 karta.png", "A 21030-2023")</f>
        <v/>
      </c>
      <c r="V42">
        <f>HYPERLINK("https://klasma.github.io/Logging_2104/klagomål/A 21030-2023 FSC-klagomål.docx", "A 21030-2023")</f>
        <v/>
      </c>
      <c r="W42">
        <f>HYPERLINK("https://klasma.github.io/Logging_2104/klagomålsmail/A 21030-2023 FSC-klagomål mail.docx", "A 21030-2023")</f>
        <v/>
      </c>
      <c r="X42">
        <f>HYPERLINK("https://klasma.github.io/Logging_2104/tillsyn/A 21030-2023 tillsynsbegäran.docx", "A 21030-2023")</f>
        <v/>
      </c>
      <c r="Y42">
        <f>HYPERLINK("https://klasma.github.io/Logging_2104/tillsynsmail/A 21030-2023 tillsynsbegäran mail.docx", "A 21030-2023")</f>
        <v/>
      </c>
    </row>
    <row r="43" ht="15" customHeight="1">
      <c r="A43" t="inlineStr">
        <is>
          <t>A 29400-2023</t>
        </is>
      </c>
      <c r="B43" s="1" t="n">
        <v>45106</v>
      </c>
      <c r="C43" s="1" t="n">
        <v>45471</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Knärot</t>
        </is>
      </c>
      <c r="S43">
        <f>HYPERLINK("https://klasma.github.io/Logging_2104/artfynd/A 29400-2023 artfynd.xlsx", "A 29400-2023")</f>
        <v/>
      </c>
      <c r="T43">
        <f>HYPERLINK("https://klasma.github.io/Logging_2104/kartor/A 29400-2023 karta.png", "A 29400-2023")</f>
        <v/>
      </c>
      <c r="U43">
        <f>HYPERLINK("https://klasma.github.io/Logging_2104/knärot/A 29400-2023 karta knärot.png", "A 29400-2023")</f>
        <v/>
      </c>
      <c r="V43">
        <f>HYPERLINK("https://klasma.github.io/Logging_2104/klagomål/A 29400-2023 FSC-klagomål.docx", "A 29400-2023")</f>
        <v/>
      </c>
      <c r="W43">
        <f>HYPERLINK("https://klasma.github.io/Logging_2104/klagomålsmail/A 29400-2023 FSC-klagomål mail.docx", "A 29400-2023")</f>
        <v/>
      </c>
      <c r="X43">
        <f>HYPERLINK("https://klasma.github.io/Logging_2104/tillsyn/A 29400-2023 tillsynsbegäran.docx", "A 29400-2023")</f>
        <v/>
      </c>
      <c r="Y43">
        <f>HYPERLINK("https://klasma.github.io/Logging_2104/tillsynsmail/A 29400-2023 tillsynsbegäran mail.docx", "A 29400-2023")</f>
        <v/>
      </c>
    </row>
    <row r="44" ht="15" customHeight="1">
      <c r="A44" t="inlineStr">
        <is>
          <t>A 33491-2023</t>
        </is>
      </c>
      <c r="B44" s="1" t="n">
        <v>45118</v>
      </c>
      <c r="C44" s="1" t="n">
        <v>45471</v>
      </c>
      <c r="D44" t="inlineStr">
        <is>
          <t>GÄVLEBORGS LÄN</t>
        </is>
      </c>
      <c r="E44" t="inlineStr">
        <is>
          <t>HOFORS</t>
        </is>
      </c>
      <c r="F44" t="inlineStr">
        <is>
          <t>Bergvik skog väst AB</t>
        </is>
      </c>
      <c r="G44" t="n">
        <v>32.3</v>
      </c>
      <c r="H44" t="n">
        <v>1</v>
      </c>
      <c r="I44" t="n">
        <v>0</v>
      </c>
      <c r="J44" t="n">
        <v>0</v>
      </c>
      <c r="K44" t="n">
        <v>0</v>
      </c>
      <c r="L44" t="n">
        <v>0</v>
      </c>
      <c r="M44" t="n">
        <v>0</v>
      </c>
      <c r="N44" t="n">
        <v>0</v>
      </c>
      <c r="O44" t="n">
        <v>0</v>
      </c>
      <c r="P44" t="n">
        <v>0</v>
      </c>
      <c r="Q44" t="n">
        <v>1</v>
      </c>
      <c r="R44" s="2" t="inlineStr">
        <is>
          <t>Revlummer</t>
        </is>
      </c>
      <c r="S44">
        <f>HYPERLINK("https://klasma.github.io/Logging_2104/artfynd/A 33491-2023 artfynd.xlsx", "A 33491-2023")</f>
        <v/>
      </c>
      <c r="T44">
        <f>HYPERLINK("https://klasma.github.io/Logging_2104/kartor/A 33491-2023 karta.png", "A 33491-2023")</f>
        <v/>
      </c>
      <c r="V44">
        <f>HYPERLINK("https://klasma.github.io/Logging_2104/klagomål/A 33491-2023 FSC-klagomål.docx", "A 33491-2023")</f>
        <v/>
      </c>
      <c r="W44">
        <f>HYPERLINK("https://klasma.github.io/Logging_2104/klagomålsmail/A 33491-2023 FSC-klagomål mail.docx", "A 33491-2023")</f>
        <v/>
      </c>
      <c r="X44">
        <f>HYPERLINK("https://klasma.github.io/Logging_2104/tillsyn/A 33491-2023 tillsynsbegäran.docx", "A 33491-2023")</f>
        <v/>
      </c>
      <c r="Y44">
        <f>HYPERLINK("https://klasma.github.io/Logging_2104/tillsynsmail/A 33491-2023 tillsynsbegäran mail.docx", "A 33491-2023")</f>
        <v/>
      </c>
    </row>
    <row r="45" ht="15" customHeight="1">
      <c r="A45" t="inlineStr">
        <is>
          <t>A 33298-2023</t>
        </is>
      </c>
      <c r="B45" s="1" t="n">
        <v>45127</v>
      </c>
      <c r="C45" s="1" t="n">
        <v>45471</v>
      </c>
      <c r="D45" t="inlineStr">
        <is>
          <t>GÄVLEBORGS LÄN</t>
        </is>
      </c>
      <c r="E45" t="inlineStr">
        <is>
          <t>HOFORS</t>
        </is>
      </c>
      <c r="F45" t="inlineStr">
        <is>
          <t>Sveaskog</t>
        </is>
      </c>
      <c r="G45" t="n">
        <v>5.6</v>
      </c>
      <c r="H45" t="n">
        <v>0</v>
      </c>
      <c r="I45" t="n">
        <v>1</v>
      </c>
      <c r="J45" t="n">
        <v>0</v>
      </c>
      <c r="K45" t="n">
        <v>0</v>
      </c>
      <c r="L45" t="n">
        <v>0</v>
      </c>
      <c r="M45" t="n">
        <v>0</v>
      </c>
      <c r="N45" t="n">
        <v>0</v>
      </c>
      <c r="O45" t="n">
        <v>0</v>
      </c>
      <c r="P45" t="n">
        <v>0</v>
      </c>
      <c r="Q45" t="n">
        <v>1</v>
      </c>
      <c r="R45" s="2" t="inlineStr">
        <is>
          <t>Vedticka</t>
        </is>
      </c>
      <c r="S45">
        <f>HYPERLINK("https://klasma.github.io/Logging_2104/artfynd/A 33298-2023 artfynd.xlsx", "A 33298-2023")</f>
        <v/>
      </c>
      <c r="T45">
        <f>HYPERLINK("https://klasma.github.io/Logging_2104/kartor/A 33298-2023 karta.png", "A 33298-2023")</f>
        <v/>
      </c>
      <c r="V45">
        <f>HYPERLINK("https://klasma.github.io/Logging_2104/klagomål/A 33298-2023 FSC-klagomål.docx", "A 33298-2023")</f>
        <v/>
      </c>
      <c r="W45">
        <f>HYPERLINK("https://klasma.github.io/Logging_2104/klagomålsmail/A 33298-2023 FSC-klagomål mail.docx", "A 33298-2023")</f>
        <v/>
      </c>
      <c r="X45">
        <f>HYPERLINK("https://klasma.github.io/Logging_2104/tillsyn/A 33298-2023 tillsynsbegäran.docx", "A 33298-2023")</f>
        <v/>
      </c>
      <c r="Y45">
        <f>HYPERLINK("https://klasma.github.io/Logging_2104/tillsynsmail/A 33298-2023 tillsynsbegäran mail.docx", "A 33298-2023")</f>
        <v/>
      </c>
    </row>
    <row r="46" ht="15" customHeight="1">
      <c r="A46" t="inlineStr">
        <is>
          <t>A 34244-2023</t>
        </is>
      </c>
      <c r="B46" s="1" t="n">
        <v>45138</v>
      </c>
      <c r="C46" s="1" t="n">
        <v>45471</v>
      </c>
      <c r="D46" t="inlineStr">
        <is>
          <t>GÄVLEBORGS LÄN</t>
        </is>
      </c>
      <c r="E46" t="inlineStr">
        <is>
          <t>HOFORS</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HYPERLINK("https://klasma.github.io/Logging_2104/artfynd/A 34244-2023 artfynd.xlsx", "A 34244-2023")</f>
        <v/>
      </c>
      <c r="T46">
        <f>HYPERLINK("https://klasma.github.io/Logging_2104/kartor/A 34244-2023 karta.png", "A 34244-2023")</f>
        <v/>
      </c>
      <c r="V46">
        <f>HYPERLINK("https://klasma.github.io/Logging_2104/klagomål/A 34244-2023 FSC-klagomål.docx", "A 34244-2023")</f>
        <v/>
      </c>
      <c r="W46">
        <f>HYPERLINK("https://klasma.github.io/Logging_2104/klagomålsmail/A 34244-2023 FSC-klagomål mail.docx", "A 34244-2023")</f>
        <v/>
      </c>
      <c r="X46">
        <f>HYPERLINK("https://klasma.github.io/Logging_2104/tillsyn/A 34244-2023 tillsynsbegäran.docx", "A 34244-2023")</f>
        <v/>
      </c>
      <c r="Y46">
        <f>HYPERLINK("https://klasma.github.io/Logging_2104/tillsynsmail/A 34244-2023 tillsynsbegäran mail.docx", "A 34244-2023")</f>
        <v/>
      </c>
    </row>
    <row r="47" ht="15" customHeight="1">
      <c r="A47" t="inlineStr">
        <is>
          <t>A 35614-2023</t>
        </is>
      </c>
      <c r="B47" s="1" t="n">
        <v>45147</v>
      </c>
      <c r="C47" s="1" t="n">
        <v>45471</v>
      </c>
      <c r="D47" t="inlineStr">
        <is>
          <t>GÄVLEBORGS LÄN</t>
        </is>
      </c>
      <c r="E47" t="inlineStr">
        <is>
          <t>HOFORS</t>
        </is>
      </c>
      <c r="G47" t="n">
        <v>0.9</v>
      </c>
      <c r="H47" t="n">
        <v>0</v>
      </c>
      <c r="I47" t="n">
        <v>0</v>
      </c>
      <c r="J47" t="n">
        <v>1</v>
      </c>
      <c r="K47" t="n">
        <v>0</v>
      </c>
      <c r="L47" t="n">
        <v>0</v>
      </c>
      <c r="M47" t="n">
        <v>0</v>
      </c>
      <c r="N47" t="n">
        <v>0</v>
      </c>
      <c r="O47" t="n">
        <v>1</v>
      </c>
      <c r="P47" t="n">
        <v>0</v>
      </c>
      <c r="Q47" t="n">
        <v>1</v>
      </c>
      <c r="R47" s="2" t="inlineStr">
        <is>
          <t>Slät tallkapuschongbagge</t>
        </is>
      </c>
      <c r="S47">
        <f>HYPERLINK("https://klasma.github.io/Logging_2104/artfynd/A 35614-2023 artfynd.xlsx", "A 35614-2023")</f>
        <v/>
      </c>
      <c r="T47">
        <f>HYPERLINK("https://klasma.github.io/Logging_2104/kartor/A 35614-2023 karta.png", "A 35614-2023")</f>
        <v/>
      </c>
      <c r="V47">
        <f>HYPERLINK("https://klasma.github.io/Logging_2104/klagomål/A 35614-2023 FSC-klagomål.docx", "A 35614-2023")</f>
        <v/>
      </c>
      <c r="W47">
        <f>HYPERLINK("https://klasma.github.io/Logging_2104/klagomålsmail/A 35614-2023 FSC-klagomål mail.docx", "A 35614-2023")</f>
        <v/>
      </c>
      <c r="X47">
        <f>HYPERLINK("https://klasma.github.io/Logging_2104/tillsyn/A 35614-2023 tillsynsbegäran.docx", "A 35614-2023")</f>
        <v/>
      </c>
      <c r="Y47">
        <f>HYPERLINK("https://klasma.github.io/Logging_2104/tillsynsmail/A 35614-2023 tillsynsbegäran mail.docx", "A 35614-2023")</f>
        <v/>
      </c>
    </row>
    <row r="48" ht="15" customHeight="1">
      <c r="A48" t="inlineStr">
        <is>
          <t>A 39001-2023</t>
        </is>
      </c>
      <c r="B48" s="1" t="n">
        <v>45163</v>
      </c>
      <c r="C48" s="1" t="n">
        <v>45471</v>
      </c>
      <c r="D48" t="inlineStr">
        <is>
          <t>GÄVLEBORGS LÄN</t>
        </is>
      </c>
      <c r="E48" t="inlineStr">
        <is>
          <t>HOFORS</t>
        </is>
      </c>
      <c r="F48" t="inlineStr">
        <is>
          <t>Sveaskog</t>
        </is>
      </c>
      <c r="G48" t="n">
        <v>2.1</v>
      </c>
      <c r="H48" t="n">
        <v>1</v>
      </c>
      <c r="I48" t="n">
        <v>0</v>
      </c>
      <c r="J48" t="n">
        <v>0</v>
      </c>
      <c r="K48" t="n">
        <v>0</v>
      </c>
      <c r="L48" t="n">
        <v>0</v>
      </c>
      <c r="M48" t="n">
        <v>0</v>
      </c>
      <c r="N48" t="n">
        <v>0</v>
      </c>
      <c r="O48" t="n">
        <v>0</v>
      </c>
      <c r="P48" t="n">
        <v>0</v>
      </c>
      <c r="Q48" t="n">
        <v>1</v>
      </c>
      <c r="R48" s="2" t="inlineStr">
        <is>
          <t>Revlummer</t>
        </is>
      </c>
      <c r="S48">
        <f>HYPERLINK("https://klasma.github.io/Logging_2104/artfynd/A 39001-2023 artfynd.xlsx", "A 39001-2023")</f>
        <v/>
      </c>
      <c r="T48">
        <f>HYPERLINK("https://klasma.github.io/Logging_2104/kartor/A 39001-2023 karta.png", "A 39001-2023")</f>
        <v/>
      </c>
      <c r="V48">
        <f>HYPERLINK("https://klasma.github.io/Logging_2104/klagomål/A 39001-2023 FSC-klagomål.docx", "A 39001-2023")</f>
        <v/>
      </c>
      <c r="W48">
        <f>HYPERLINK("https://klasma.github.io/Logging_2104/klagomålsmail/A 39001-2023 FSC-klagomål mail.docx", "A 39001-2023")</f>
        <v/>
      </c>
      <c r="X48">
        <f>HYPERLINK("https://klasma.github.io/Logging_2104/tillsyn/A 39001-2023 tillsynsbegäran.docx", "A 39001-2023")</f>
        <v/>
      </c>
      <c r="Y48">
        <f>HYPERLINK("https://klasma.github.io/Logging_2104/tillsynsmail/A 39001-2023 tillsynsbegäran mail.docx", "A 39001-2023")</f>
        <v/>
      </c>
    </row>
    <row r="49" ht="15" customHeight="1">
      <c r="A49" t="inlineStr">
        <is>
          <t>A 47459-2023</t>
        </is>
      </c>
      <c r="B49" s="1" t="n">
        <v>45202</v>
      </c>
      <c r="C49" s="1" t="n">
        <v>45471</v>
      </c>
      <c r="D49" t="inlineStr">
        <is>
          <t>GÄVLEBORGS LÄN</t>
        </is>
      </c>
      <c r="E49" t="inlineStr">
        <is>
          <t>HOFORS</t>
        </is>
      </c>
      <c r="G49" t="n">
        <v>6</v>
      </c>
      <c r="H49" t="n">
        <v>0</v>
      </c>
      <c r="I49" t="n">
        <v>1</v>
      </c>
      <c r="J49" t="n">
        <v>0</v>
      </c>
      <c r="K49" t="n">
        <v>0</v>
      </c>
      <c r="L49" t="n">
        <v>0</v>
      </c>
      <c r="M49" t="n">
        <v>0</v>
      </c>
      <c r="N49" t="n">
        <v>0</v>
      </c>
      <c r="O49" t="n">
        <v>0</v>
      </c>
      <c r="P49" t="n">
        <v>0</v>
      </c>
      <c r="Q49" t="n">
        <v>1</v>
      </c>
      <c r="R49" s="2" t="inlineStr">
        <is>
          <t>Grönpyrola</t>
        </is>
      </c>
      <c r="S49">
        <f>HYPERLINK("https://klasma.github.io/Logging_2104/artfynd/A 47459-2023 artfynd.xlsx", "A 47459-2023")</f>
        <v/>
      </c>
      <c r="T49">
        <f>HYPERLINK("https://klasma.github.io/Logging_2104/kartor/A 47459-2023 karta.png", "A 47459-2023")</f>
        <v/>
      </c>
      <c r="V49">
        <f>HYPERLINK("https://klasma.github.io/Logging_2104/klagomål/A 47459-2023 FSC-klagomål.docx", "A 47459-2023")</f>
        <v/>
      </c>
      <c r="W49">
        <f>HYPERLINK("https://klasma.github.io/Logging_2104/klagomålsmail/A 47459-2023 FSC-klagomål mail.docx", "A 47459-2023")</f>
        <v/>
      </c>
      <c r="X49">
        <f>HYPERLINK("https://klasma.github.io/Logging_2104/tillsyn/A 47459-2023 tillsynsbegäran.docx", "A 47459-2023")</f>
        <v/>
      </c>
      <c r="Y49">
        <f>HYPERLINK("https://klasma.github.io/Logging_2104/tillsynsmail/A 47459-2023 tillsynsbegäran mail.docx", "A 47459-2023")</f>
        <v/>
      </c>
    </row>
    <row r="50" ht="15" customHeight="1">
      <c r="A50" t="inlineStr">
        <is>
          <t>A 7543-2024</t>
        </is>
      </c>
      <c r="B50" s="1" t="n">
        <v>45348</v>
      </c>
      <c r="C50" s="1" t="n">
        <v>45471</v>
      </c>
      <c r="D50" t="inlineStr">
        <is>
          <t>GÄVLEBORGS LÄN</t>
        </is>
      </c>
      <c r="E50" t="inlineStr">
        <is>
          <t>HOFORS</t>
        </is>
      </c>
      <c r="G50" t="n">
        <v>3.2</v>
      </c>
      <c r="H50" t="n">
        <v>0</v>
      </c>
      <c r="I50" t="n">
        <v>1</v>
      </c>
      <c r="J50" t="n">
        <v>0</v>
      </c>
      <c r="K50" t="n">
        <v>0</v>
      </c>
      <c r="L50" t="n">
        <v>0</v>
      </c>
      <c r="M50" t="n">
        <v>0</v>
      </c>
      <c r="N50" t="n">
        <v>0</v>
      </c>
      <c r="O50" t="n">
        <v>0</v>
      </c>
      <c r="P50" t="n">
        <v>0</v>
      </c>
      <c r="Q50" t="n">
        <v>1</v>
      </c>
      <c r="R50" s="2" t="inlineStr">
        <is>
          <t>Svart trolldruva</t>
        </is>
      </c>
      <c r="S50">
        <f>HYPERLINK("https://klasma.github.io/Logging_2104/artfynd/A 7543-2024 artfynd.xlsx", "A 7543-2024")</f>
        <v/>
      </c>
      <c r="T50">
        <f>HYPERLINK("https://klasma.github.io/Logging_2104/kartor/A 7543-2024 karta.png", "A 7543-2024")</f>
        <v/>
      </c>
      <c r="V50">
        <f>HYPERLINK("https://klasma.github.io/Logging_2104/klagomål/A 7543-2024 FSC-klagomål.docx", "A 7543-2024")</f>
        <v/>
      </c>
      <c r="W50">
        <f>HYPERLINK("https://klasma.github.io/Logging_2104/klagomålsmail/A 7543-2024 FSC-klagomål mail.docx", "A 7543-2024")</f>
        <v/>
      </c>
      <c r="X50">
        <f>HYPERLINK("https://klasma.github.io/Logging_2104/tillsyn/A 7543-2024 tillsynsbegäran.docx", "A 7543-2024")</f>
        <v/>
      </c>
      <c r="Y50">
        <f>HYPERLINK("https://klasma.github.io/Logging_2104/tillsynsmail/A 7543-2024 tillsynsbegäran mail.docx", "A 7543-2024")</f>
        <v/>
      </c>
    </row>
    <row r="51" ht="15" customHeight="1">
      <c r="A51" t="inlineStr">
        <is>
          <t>A 21009-2024</t>
        </is>
      </c>
      <c r="B51" s="1" t="n">
        <v>45439</v>
      </c>
      <c r="C51" s="1" t="n">
        <v>45471</v>
      </c>
      <c r="D51" t="inlineStr">
        <is>
          <t>GÄVLEBORGS LÄN</t>
        </is>
      </c>
      <c r="E51" t="inlineStr">
        <is>
          <t>HOFORS</t>
        </is>
      </c>
      <c r="F51" t="inlineStr">
        <is>
          <t>Sveaskog</t>
        </is>
      </c>
      <c r="G51" t="n">
        <v>3.8</v>
      </c>
      <c r="H51" t="n">
        <v>0</v>
      </c>
      <c r="I51" t="n">
        <v>1</v>
      </c>
      <c r="J51" t="n">
        <v>0</v>
      </c>
      <c r="K51" t="n">
        <v>0</v>
      </c>
      <c r="L51" t="n">
        <v>0</v>
      </c>
      <c r="M51" t="n">
        <v>0</v>
      </c>
      <c r="N51" t="n">
        <v>0</v>
      </c>
      <c r="O51" t="n">
        <v>0</v>
      </c>
      <c r="P51" t="n">
        <v>0</v>
      </c>
      <c r="Q51" t="n">
        <v>1</v>
      </c>
      <c r="R51" s="2" t="inlineStr">
        <is>
          <t>Tibast</t>
        </is>
      </c>
      <c r="S51">
        <f>HYPERLINK("https://klasma.github.io/Logging_2104/artfynd/A 21009-2024 artfynd.xlsx", "A 21009-2024")</f>
        <v/>
      </c>
      <c r="T51">
        <f>HYPERLINK("https://klasma.github.io/Logging_2104/kartor/A 21009-2024 karta.png", "A 21009-2024")</f>
        <v/>
      </c>
      <c r="V51">
        <f>HYPERLINK("https://klasma.github.io/Logging_2104/klagomål/A 21009-2024 FSC-klagomål.docx", "A 21009-2024")</f>
        <v/>
      </c>
      <c r="W51">
        <f>HYPERLINK("https://klasma.github.io/Logging_2104/klagomålsmail/A 21009-2024 FSC-klagomål mail.docx", "A 21009-2024")</f>
        <v/>
      </c>
      <c r="X51">
        <f>HYPERLINK("https://klasma.github.io/Logging_2104/tillsyn/A 21009-2024 tillsynsbegäran.docx", "A 21009-2024")</f>
        <v/>
      </c>
      <c r="Y51">
        <f>HYPERLINK("https://klasma.github.io/Logging_2104/tillsynsmail/A 21009-2024 tillsynsbegäran mail.docx", "A 21009-2024")</f>
        <v/>
      </c>
    </row>
    <row r="52" ht="15" customHeight="1">
      <c r="A52" t="inlineStr">
        <is>
          <t>A 21029-2024</t>
        </is>
      </c>
      <c r="B52" s="1" t="n">
        <v>45439</v>
      </c>
      <c r="C52" s="1" t="n">
        <v>45471</v>
      </c>
      <c r="D52" t="inlineStr">
        <is>
          <t>GÄVLEBORGS LÄN</t>
        </is>
      </c>
      <c r="E52" t="inlineStr">
        <is>
          <t>HOFORS</t>
        </is>
      </c>
      <c r="F52" t="inlineStr">
        <is>
          <t>Sveaskog</t>
        </is>
      </c>
      <c r="G52" t="n">
        <v>3.9</v>
      </c>
      <c r="H52" t="n">
        <v>0</v>
      </c>
      <c r="I52" t="n">
        <v>0</v>
      </c>
      <c r="J52" t="n">
        <v>1</v>
      </c>
      <c r="K52" t="n">
        <v>0</v>
      </c>
      <c r="L52" t="n">
        <v>0</v>
      </c>
      <c r="M52" t="n">
        <v>0</v>
      </c>
      <c r="N52" t="n">
        <v>0</v>
      </c>
      <c r="O52" t="n">
        <v>1</v>
      </c>
      <c r="P52" t="n">
        <v>0</v>
      </c>
      <c r="Q52" t="n">
        <v>1</v>
      </c>
      <c r="R52" s="2" t="inlineStr">
        <is>
          <t>Mörk kolflarnlav</t>
        </is>
      </c>
      <c r="S52">
        <f>HYPERLINK("https://klasma.github.io/Logging_2104/artfynd/A 21029-2024 artfynd.xlsx", "A 21029-2024")</f>
        <v/>
      </c>
      <c r="T52">
        <f>HYPERLINK("https://klasma.github.io/Logging_2104/kartor/A 21029-2024 karta.png", "A 21029-2024")</f>
        <v/>
      </c>
      <c r="U52">
        <f>HYPERLINK("https://klasma.github.io/Logging_2104/knärot/A 21029-2024 karta knärot.png", "A 21029-2024")</f>
        <v/>
      </c>
      <c r="V52">
        <f>HYPERLINK("https://klasma.github.io/Logging_2104/klagomål/A 21029-2024 FSC-klagomål.docx", "A 21029-2024")</f>
        <v/>
      </c>
      <c r="W52">
        <f>HYPERLINK("https://klasma.github.io/Logging_2104/klagomålsmail/A 21029-2024 FSC-klagomål mail.docx", "A 21029-2024")</f>
        <v/>
      </c>
      <c r="X52">
        <f>HYPERLINK("https://klasma.github.io/Logging_2104/tillsyn/A 21029-2024 tillsynsbegäran.docx", "A 21029-2024")</f>
        <v/>
      </c>
      <c r="Y52">
        <f>HYPERLINK("https://klasma.github.io/Logging_2104/tillsynsmail/A 21029-2024 tillsynsbegäran mail.docx", "A 21029-2024")</f>
        <v/>
      </c>
    </row>
    <row r="53" ht="15" customHeight="1">
      <c r="A53" t="inlineStr">
        <is>
          <t>A 23354-2024</t>
        </is>
      </c>
      <c r="B53" s="1" t="n">
        <v>45453</v>
      </c>
      <c r="C53" s="1" t="n">
        <v>45471</v>
      </c>
      <c r="D53" t="inlineStr">
        <is>
          <t>GÄVLEBORGS LÄN</t>
        </is>
      </c>
      <c r="E53" t="inlineStr">
        <is>
          <t>HOFORS</t>
        </is>
      </c>
      <c r="F53" t="inlineStr">
        <is>
          <t>Sveaskog</t>
        </is>
      </c>
      <c r="G53" t="n">
        <v>2</v>
      </c>
      <c r="H53" t="n">
        <v>1</v>
      </c>
      <c r="I53" t="n">
        <v>0</v>
      </c>
      <c r="J53" t="n">
        <v>0</v>
      </c>
      <c r="K53" t="n">
        <v>0</v>
      </c>
      <c r="L53" t="n">
        <v>0</v>
      </c>
      <c r="M53" t="n">
        <v>0</v>
      </c>
      <c r="N53" t="n">
        <v>0</v>
      </c>
      <c r="O53" t="n">
        <v>0</v>
      </c>
      <c r="P53" t="n">
        <v>0</v>
      </c>
      <c r="Q53" t="n">
        <v>1</v>
      </c>
      <c r="R53" s="2" t="inlineStr">
        <is>
          <t>Fläcknycklar</t>
        </is>
      </c>
      <c r="S53">
        <f>HYPERLINK("https://klasma.github.io/Logging_2104/artfynd/A 23354-2024 artfynd.xlsx", "A 23354-2024")</f>
        <v/>
      </c>
      <c r="T53">
        <f>HYPERLINK("https://klasma.github.io/Logging_2104/kartor/A 23354-2024 karta.png", "A 23354-2024")</f>
        <v/>
      </c>
      <c r="V53">
        <f>HYPERLINK("https://klasma.github.io/Logging_2104/klagomål/A 23354-2024 FSC-klagomål.docx", "A 23354-2024")</f>
        <v/>
      </c>
      <c r="W53">
        <f>HYPERLINK("https://klasma.github.io/Logging_2104/klagomålsmail/A 23354-2024 FSC-klagomål mail.docx", "A 23354-2024")</f>
        <v/>
      </c>
      <c r="X53">
        <f>HYPERLINK("https://klasma.github.io/Logging_2104/tillsyn/A 23354-2024 tillsynsbegäran.docx", "A 23354-2024")</f>
        <v/>
      </c>
      <c r="Y53">
        <f>HYPERLINK("https://klasma.github.io/Logging_2104/tillsynsmail/A 23354-2024 tillsynsbegäran mail.docx", "A 23354-2024")</f>
        <v/>
      </c>
    </row>
    <row r="54" ht="15" customHeight="1">
      <c r="A54" t="inlineStr">
        <is>
          <t>A 17691-2019</t>
        </is>
      </c>
      <c r="B54" s="1" t="n">
        <v>43556</v>
      </c>
      <c r="C54" s="1" t="n">
        <v>45471</v>
      </c>
      <c r="D54" t="inlineStr">
        <is>
          <t>GÄVLEBORGS LÄN</t>
        </is>
      </c>
      <c r="E54" t="inlineStr">
        <is>
          <t>HOFORS</t>
        </is>
      </c>
      <c r="F54" t="inlineStr">
        <is>
          <t>Kommuner</t>
        </is>
      </c>
      <c r="G54" t="n">
        <v>3.9</v>
      </c>
      <c r="H54" t="n">
        <v>0</v>
      </c>
      <c r="I54" t="n">
        <v>0</v>
      </c>
      <c r="J54" t="n">
        <v>0</v>
      </c>
      <c r="K54" t="n">
        <v>0</v>
      </c>
      <c r="L54" t="n">
        <v>0</v>
      </c>
      <c r="M54" t="n">
        <v>0</v>
      </c>
      <c r="N54" t="n">
        <v>0</v>
      </c>
      <c r="O54" t="n">
        <v>0</v>
      </c>
      <c r="P54" t="n">
        <v>0</v>
      </c>
      <c r="Q54" t="n">
        <v>0</v>
      </c>
      <c r="R54" s="2" t="inlineStr"/>
    </row>
    <row r="55" ht="15" customHeight="1">
      <c r="A55" t="inlineStr">
        <is>
          <t>A 18095-2019</t>
        </is>
      </c>
      <c r="B55" s="1" t="n">
        <v>43558</v>
      </c>
      <c r="C55" s="1" t="n">
        <v>45471</v>
      </c>
      <c r="D55" t="inlineStr">
        <is>
          <t>GÄVLEBORGS LÄN</t>
        </is>
      </c>
      <c r="E55" t="inlineStr">
        <is>
          <t>HOFORS</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18085-2019</t>
        </is>
      </c>
      <c r="B56" s="1" t="n">
        <v>43558</v>
      </c>
      <c r="C56" s="1" t="n">
        <v>45471</v>
      </c>
      <c r="D56" t="inlineStr">
        <is>
          <t>GÄVLEBORGS LÄN</t>
        </is>
      </c>
      <c r="E56" t="inlineStr">
        <is>
          <t>HOFORS</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21734-2019</t>
        </is>
      </c>
      <c r="B57" s="1" t="n">
        <v>43581</v>
      </c>
      <c r="C57" s="1" t="n">
        <v>45471</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c r="U57">
        <f>HYPERLINK("https://klasma.github.io/Logging_2104/knärot/A 21734-2019 karta knärot.png", "A 21734-2019")</f>
        <v/>
      </c>
      <c r="V57">
        <f>HYPERLINK("https://klasma.github.io/Logging_2104/klagomål/A 21734-2019 FSC-klagomål.docx", "A 21734-2019")</f>
        <v/>
      </c>
      <c r="W57">
        <f>HYPERLINK("https://klasma.github.io/Logging_2104/klagomålsmail/A 21734-2019 FSC-klagomål mail.docx", "A 21734-2019")</f>
        <v/>
      </c>
      <c r="X57">
        <f>HYPERLINK("https://klasma.github.io/Logging_2104/tillsyn/A 21734-2019 tillsynsbegäran.docx", "A 21734-2019")</f>
        <v/>
      </c>
      <c r="Y57">
        <f>HYPERLINK("https://klasma.github.io/Logging_2104/tillsynsmail/A 21734-2019 tillsynsbegäran mail.docx", "A 21734-2019")</f>
        <v/>
      </c>
    </row>
    <row r="58" ht="15" customHeight="1">
      <c r="A58" t="inlineStr">
        <is>
          <t>A 22734-2019</t>
        </is>
      </c>
      <c r="B58" s="1" t="n">
        <v>43588</v>
      </c>
      <c r="C58" s="1" t="n">
        <v>45471</v>
      </c>
      <c r="D58" t="inlineStr">
        <is>
          <t>GÄVLEBORGS LÄN</t>
        </is>
      </c>
      <c r="E58" t="inlineStr">
        <is>
          <t>HOFORS</t>
        </is>
      </c>
      <c r="F58" t="inlineStr">
        <is>
          <t>Sveaskog</t>
        </is>
      </c>
      <c r="G58" t="n">
        <v>5.7</v>
      </c>
      <c r="H58" t="n">
        <v>0</v>
      </c>
      <c r="I58" t="n">
        <v>0</v>
      </c>
      <c r="J58" t="n">
        <v>0</v>
      </c>
      <c r="K58" t="n">
        <v>0</v>
      </c>
      <c r="L58" t="n">
        <v>0</v>
      </c>
      <c r="M58" t="n">
        <v>0</v>
      </c>
      <c r="N58" t="n">
        <v>0</v>
      </c>
      <c r="O58" t="n">
        <v>0</v>
      </c>
      <c r="P58" t="n">
        <v>0</v>
      </c>
      <c r="Q58" t="n">
        <v>0</v>
      </c>
      <c r="R58" s="2" t="inlineStr"/>
    </row>
    <row r="59" ht="15" customHeight="1">
      <c r="A59" t="inlineStr">
        <is>
          <t>A 23881-2019</t>
        </is>
      </c>
      <c r="B59" s="1" t="n">
        <v>43595</v>
      </c>
      <c r="C59" s="1" t="n">
        <v>45471</v>
      </c>
      <c r="D59" t="inlineStr">
        <is>
          <t>GÄVLEBORGS LÄN</t>
        </is>
      </c>
      <c r="E59" t="inlineStr">
        <is>
          <t>HOFORS</t>
        </is>
      </c>
      <c r="G59" t="n">
        <v>3.2</v>
      </c>
      <c r="H59" t="n">
        <v>0</v>
      </c>
      <c r="I59" t="n">
        <v>0</v>
      </c>
      <c r="J59" t="n">
        <v>0</v>
      </c>
      <c r="K59" t="n">
        <v>0</v>
      </c>
      <c r="L59" t="n">
        <v>0</v>
      </c>
      <c r="M59" t="n">
        <v>0</v>
      </c>
      <c r="N59" t="n">
        <v>0</v>
      </c>
      <c r="O59" t="n">
        <v>0</v>
      </c>
      <c r="P59" t="n">
        <v>0</v>
      </c>
      <c r="Q59" t="n">
        <v>0</v>
      </c>
      <c r="R59" s="2" t="inlineStr"/>
    </row>
    <row r="60" ht="15" customHeight="1">
      <c r="A60" t="inlineStr">
        <is>
          <t>A 24756-2019</t>
        </is>
      </c>
      <c r="B60" s="1" t="n">
        <v>43601</v>
      </c>
      <c r="C60" s="1" t="n">
        <v>45471</v>
      </c>
      <c r="D60" t="inlineStr">
        <is>
          <t>GÄVLEBORGS LÄN</t>
        </is>
      </c>
      <c r="E60" t="inlineStr">
        <is>
          <t>HOFORS</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25515-2019</t>
        </is>
      </c>
      <c r="B61" s="1" t="n">
        <v>43606</v>
      </c>
      <c r="C61" s="1" t="n">
        <v>45471</v>
      </c>
      <c r="D61" t="inlineStr">
        <is>
          <t>GÄVLEBORGS LÄN</t>
        </is>
      </c>
      <c r="E61" t="inlineStr">
        <is>
          <t>HOFORS</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25517-2019</t>
        </is>
      </c>
      <c r="B62" s="1" t="n">
        <v>43606</v>
      </c>
      <c r="C62" s="1" t="n">
        <v>45471</v>
      </c>
      <c r="D62" t="inlineStr">
        <is>
          <t>GÄVLEBORGS LÄN</t>
        </is>
      </c>
      <c r="E62" t="inlineStr">
        <is>
          <t>HOFORS</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30592-2019</t>
        </is>
      </c>
      <c r="B63" s="1" t="n">
        <v>43635</v>
      </c>
      <c r="C63" s="1" t="n">
        <v>45471</v>
      </c>
      <c r="D63" t="inlineStr">
        <is>
          <t>GÄVLEBORGS LÄN</t>
        </is>
      </c>
      <c r="E63" t="inlineStr">
        <is>
          <t>HOFORS</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30591-2019</t>
        </is>
      </c>
      <c r="B64" s="1" t="n">
        <v>43635</v>
      </c>
      <c r="C64" s="1" t="n">
        <v>45471</v>
      </c>
      <c r="D64" t="inlineStr">
        <is>
          <t>GÄVLEBORGS LÄN</t>
        </is>
      </c>
      <c r="E64" t="inlineStr">
        <is>
          <t>HOFORS</t>
        </is>
      </c>
      <c r="F64" t="inlineStr">
        <is>
          <t>Sveaskog</t>
        </is>
      </c>
      <c r="G64" t="n">
        <v>8.5</v>
      </c>
      <c r="H64" t="n">
        <v>0</v>
      </c>
      <c r="I64" t="n">
        <v>0</v>
      </c>
      <c r="J64" t="n">
        <v>0</v>
      </c>
      <c r="K64" t="n">
        <v>0</v>
      </c>
      <c r="L64" t="n">
        <v>0</v>
      </c>
      <c r="M64" t="n">
        <v>0</v>
      </c>
      <c r="N64" t="n">
        <v>0</v>
      </c>
      <c r="O64" t="n">
        <v>0</v>
      </c>
      <c r="P64" t="n">
        <v>0</v>
      </c>
      <c r="Q64" t="n">
        <v>0</v>
      </c>
      <c r="R64" s="2" t="inlineStr"/>
    </row>
    <row r="65" ht="15" customHeight="1">
      <c r="A65" t="inlineStr">
        <is>
          <t>A 40385-2019</t>
        </is>
      </c>
      <c r="B65" s="1" t="n">
        <v>43696</v>
      </c>
      <c r="C65" s="1" t="n">
        <v>45471</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c r="U65">
        <f>HYPERLINK("https://klasma.github.io/Logging_2104/knärot/A 40385-2019 karta knärot.png", "A 40385-2019")</f>
        <v/>
      </c>
      <c r="V65">
        <f>HYPERLINK("https://klasma.github.io/Logging_2104/klagomål/A 40385-2019 FSC-klagomål.docx", "A 40385-2019")</f>
        <v/>
      </c>
      <c r="W65">
        <f>HYPERLINK("https://klasma.github.io/Logging_2104/klagomålsmail/A 40385-2019 FSC-klagomål mail.docx", "A 40385-2019")</f>
        <v/>
      </c>
      <c r="X65">
        <f>HYPERLINK("https://klasma.github.io/Logging_2104/tillsyn/A 40385-2019 tillsynsbegäran.docx", "A 40385-2019")</f>
        <v/>
      </c>
      <c r="Y65">
        <f>HYPERLINK("https://klasma.github.io/Logging_2104/tillsynsmail/A 40385-2019 tillsynsbegäran mail.docx", "A 40385-2019")</f>
        <v/>
      </c>
    </row>
    <row r="66" ht="15" customHeight="1">
      <c r="A66" t="inlineStr">
        <is>
          <t>A 42253-2019</t>
        </is>
      </c>
      <c r="B66" s="1" t="n">
        <v>43703</v>
      </c>
      <c r="C66" s="1" t="n">
        <v>45471</v>
      </c>
      <c r="D66" t="inlineStr">
        <is>
          <t>GÄVLEBORGS LÄN</t>
        </is>
      </c>
      <c r="E66" t="inlineStr">
        <is>
          <t>HOFORS</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44791-2019</t>
        </is>
      </c>
      <c r="B67" s="1" t="n">
        <v>43707</v>
      </c>
      <c r="C67" s="1" t="n">
        <v>45471</v>
      </c>
      <c r="D67" t="inlineStr">
        <is>
          <t>GÄVLEBORGS LÄN</t>
        </is>
      </c>
      <c r="E67" t="inlineStr">
        <is>
          <t>HOFORS</t>
        </is>
      </c>
      <c r="G67" t="n">
        <v>14.7</v>
      </c>
      <c r="H67" t="n">
        <v>0</v>
      </c>
      <c r="I67" t="n">
        <v>0</v>
      </c>
      <c r="J67" t="n">
        <v>0</v>
      </c>
      <c r="K67" t="n">
        <v>0</v>
      </c>
      <c r="L67" t="n">
        <v>0</v>
      </c>
      <c r="M67" t="n">
        <v>0</v>
      </c>
      <c r="N67" t="n">
        <v>0</v>
      </c>
      <c r="O67" t="n">
        <v>0</v>
      </c>
      <c r="P67" t="n">
        <v>0</v>
      </c>
      <c r="Q67" t="n">
        <v>0</v>
      </c>
      <c r="R67" s="2" t="inlineStr"/>
    </row>
    <row r="68" ht="15" customHeight="1">
      <c r="A68" t="inlineStr">
        <is>
          <t>A 44218-2019</t>
        </is>
      </c>
      <c r="B68" s="1" t="n">
        <v>43710</v>
      </c>
      <c r="C68" s="1" t="n">
        <v>45471</v>
      </c>
      <c r="D68" t="inlineStr">
        <is>
          <t>GÄVLEBORGS LÄN</t>
        </is>
      </c>
      <c r="E68" t="inlineStr">
        <is>
          <t>HOFORS</t>
        </is>
      </c>
      <c r="F68" t="inlineStr">
        <is>
          <t>Sveaskog</t>
        </is>
      </c>
      <c r="G68" t="n">
        <v>3.1</v>
      </c>
      <c r="H68" t="n">
        <v>0</v>
      </c>
      <c r="I68" t="n">
        <v>0</v>
      </c>
      <c r="J68" t="n">
        <v>0</v>
      </c>
      <c r="K68" t="n">
        <v>0</v>
      </c>
      <c r="L68" t="n">
        <v>0</v>
      </c>
      <c r="M68" t="n">
        <v>0</v>
      </c>
      <c r="N68" t="n">
        <v>0</v>
      </c>
      <c r="O68" t="n">
        <v>0</v>
      </c>
      <c r="P68" t="n">
        <v>0</v>
      </c>
      <c r="Q68" t="n">
        <v>0</v>
      </c>
      <c r="R68" s="2" t="inlineStr"/>
    </row>
    <row r="69" ht="15" customHeight="1">
      <c r="A69" t="inlineStr">
        <is>
          <t>A 44196-2019</t>
        </is>
      </c>
      <c r="B69" s="1" t="n">
        <v>43710</v>
      </c>
      <c r="C69" s="1" t="n">
        <v>45471</v>
      </c>
      <c r="D69" t="inlineStr">
        <is>
          <t>GÄVLEBORGS LÄN</t>
        </is>
      </c>
      <c r="E69" t="inlineStr">
        <is>
          <t>HOFORS</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46153-2019</t>
        </is>
      </c>
      <c r="B70" s="1" t="n">
        <v>43718</v>
      </c>
      <c r="C70" s="1" t="n">
        <v>45471</v>
      </c>
      <c r="D70" t="inlineStr">
        <is>
          <t>GÄVLEBORGS LÄN</t>
        </is>
      </c>
      <c r="E70" t="inlineStr">
        <is>
          <t>HOFORS</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46161-2019</t>
        </is>
      </c>
      <c r="B71" s="1" t="n">
        <v>43718</v>
      </c>
      <c r="C71" s="1" t="n">
        <v>45471</v>
      </c>
      <c r="D71" t="inlineStr">
        <is>
          <t>GÄVLEBORGS LÄN</t>
        </is>
      </c>
      <c r="E71" t="inlineStr">
        <is>
          <t>HOFORS</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49361-2019</t>
        </is>
      </c>
      <c r="B72" s="1" t="n">
        <v>43731</v>
      </c>
      <c r="C72" s="1" t="n">
        <v>45471</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49296-2019</t>
        </is>
      </c>
      <c r="B73" s="1" t="n">
        <v>43731</v>
      </c>
      <c r="C73" s="1" t="n">
        <v>45471</v>
      </c>
      <c r="D73" t="inlineStr">
        <is>
          <t>GÄVLEBORGS LÄN</t>
        </is>
      </c>
      <c r="E73" t="inlineStr">
        <is>
          <t>HOFORS</t>
        </is>
      </c>
      <c r="F73" t="inlineStr">
        <is>
          <t>Sveaskog</t>
        </is>
      </c>
      <c r="G73" t="n">
        <v>3.1</v>
      </c>
      <c r="H73" t="n">
        <v>0</v>
      </c>
      <c r="I73" t="n">
        <v>0</v>
      </c>
      <c r="J73" t="n">
        <v>0</v>
      </c>
      <c r="K73" t="n">
        <v>0</v>
      </c>
      <c r="L73" t="n">
        <v>0</v>
      </c>
      <c r="M73" t="n">
        <v>0</v>
      </c>
      <c r="N73" t="n">
        <v>0</v>
      </c>
      <c r="O73" t="n">
        <v>0</v>
      </c>
      <c r="P73" t="n">
        <v>0</v>
      </c>
      <c r="Q73" t="n">
        <v>0</v>
      </c>
      <c r="R73" s="2" t="inlineStr"/>
    </row>
    <row r="74" ht="15" customHeight="1">
      <c r="A74" t="inlineStr">
        <is>
          <t>A 50696-2019</t>
        </is>
      </c>
      <c r="B74" s="1" t="n">
        <v>43738</v>
      </c>
      <c r="C74" s="1" t="n">
        <v>45471</v>
      </c>
      <c r="D74" t="inlineStr">
        <is>
          <t>GÄVLEBORGS LÄN</t>
        </is>
      </c>
      <c r="E74" t="inlineStr">
        <is>
          <t>HOFORS</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50694-2019</t>
        </is>
      </c>
      <c r="B75" s="1" t="n">
        <v>43738</v>
      </c>
      <c r="C75" s="1" t="n">
        <v>45471</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51927-2019</t>
        </is>
      </c>
      <c r="B76" s="1" t="n">
        <v>43741</v>
      </c>
      <c r="C76" s="1" t="n">
        <v>45471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53312-2019</t>
        </is>
      </c>
      <c r="B77" s="1" t="n">
        <v>43748</v>
      </c>
      <c r="C77" s="1" t="n">
        <v>45471</v>
      </c>
      <c r="D77" t="inlineStr">
        <is>
          <t>GÄVLEBORGS LÄN</t>
        </is>
      </c>
      <c r="E77" t="inlineStr">
        <is>
          <t>HOFORS</t>
        </is>
      </c>
      <c r="G77" t="n">
        <v>3.5</v>
      </c>
      <c r="H77" t="n">
        <v>0</v>
      </c>
      <c r="I77" t="n">
        <v>0</v>
      </c>
      <c r="J77" t="n">
        <v>0</v>
      </c>
      <c r="K77" t="n">
        <v>0</v>
      </c>
      <c r="L77" t="n">
        <v>0</v>
      </c>
      <c r="M77" t="n">
        <v>0</v>
      </c>
      <c r="N77" t="n">
        <v>0</v>
      </c>
      <c r="O77" t="n">
        <v>0</v>
      </c>
      <c r="P77" t="n">
        <v>0</v>
      </c>
      <c r="Q77" t="n">
        <v>0</v>
      </c>
      <c r="R77" s="2" t="inlineStr"/>
    </row>
    <row r="78" ht="15" customHeight="1">
      <c r="A78" t="inlineStr">
        <is>
          <t>A 53850-2019</t>
        </is>
      </c>
      <c r="B78" s="1" t="n">
        <v>43752</v>
      </c>
      <c r="C78" s="1" t="n">
        <v>45471</v>
      </c>
      <c r="D78" t="inlineStr">
        <is>
          <t>GÄVLEBORGS LÄN</t>
        </is>
      </c>
      <c r="E78" t="inlineStr">
        <is>
          <t>HOFORS</t>
        </is>
      </c>
      <c r="F78" t="inlineStr">
        <is>
          <t>Sveaskog</t>
        </is>
      </c>
      <c r="G78" t="n">
        <v>6.1</v>
      </c>
      <c r="H78" t="n">
        <v>0</v>
      </c>
      <c r="I78" t="n">
        <v>0</v>
      </c>
      <c r="J78" t="n">
        <v>0</v>
      </c>
      <c r="K78" t="n">
        <v>0</v>
      </c>
      <c r="L78" t="n">
        <v>0</v>
      </c>
      <c r="M78" t="n">
        <v>0</v>
      </c>
      <c r="N78" t="n">
        <v>0</v>
      </c>
      <c r="O78" t="n">
        <v>0</v>
      </c>
      <c r="P78" t="n">
        <v>0</v>
      </c>
      <c r="Q78" t="n">
        <v>0</v>
      </c>
      <c r="R78" s="2" t="inlineStr"/>
    </row>
    <row r="79" ht="15" customHeight="1">
      <c r="A79" t="inlineStr">
        <is>
          <t>A 53908-2019</t>
        </is>
      </c>
      <c r="B79" s="1" t="n">
        <v>43752</v>
      </c>
      <c r="C79" s="1" t="n">
        <v>45471</v>
      </c>
      <c r="D79" t="inlineStr">
        <is>
          <t>GÄVLEBORGS LÄN</t>
        </is>
      </c>
      <c r="E79" t="inlineStr">
        <is>
          <t>HOFORS</t>
        </is>
      </c>
      <c r="F79" t="inlineStr">
        <is>
          <t>Sveaskog</t>
        </is>
      </c>
      <c r="G79" t="n">
        <v>2.3</v>
      </c>
      <c r="H79" t="n">
        <v>0</v>
      </c>
      <c r="I79" t="n">
        <v>0</v>
      </c>
      <c r="J79" t="n">
        <v>0</v>
      </c>
      <c r="K79" t="n">
        <v>0</v>
      </c>
      <c r="L79" t="n">
        <v>0</v>
      </c>
      <c r="M79" t="n">
        <v>0</v>
      </c>
      <c r="N79" t="n">
        <v>0</v>
      </c>
      <c r="O79" t="n">
        <v>0</v>
      </c>
      <c r="P79" t="n">
        <v>0</v>
      </c>
      <c r="Q79" t="n">
        <v>0</v>
      </c>
      <c r="R79" s="2" t="inlineStr"/>
    </row>
    <row r="80" ht="15" customHeight="1">
      <c r="A80" t="inlineStr">
        <is>
          <t>A 53975-2019</t>
        </is>
      </c>
      <c r="B80" s="1" t="n">
        <v>43752</v>
      </c>
      <c r="C80" s="1" t="n">
        <v>45471</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53930-2019</t>
        </is>
      </c>
      <c r="B81" s="1" t="n">
        <v>43752</v>
      </c>
      <c r="C81" s="1" t="n">
        <v>45471</v>
      </c>
      <c r="D81" t="inlineStr">
        <is>
          <t>GÄVLEBORGS LÄN</t>
        </is>
      </c>
      <c r="E81" t="inlineStr">
        <is>
          <t>HOFORS</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54934-2019</t>
        </is>
      </c>
      <c r="B82" s="1" t="n">
        <v>43755</v>
      </c>
      <c r="C82" s="1" t="n">
        <v>45471</v>
      </c>
      <c r="D82" t="inlineStr">
        <is>
          <t>GÄVLEBORGS LÄN</t>
        </is>
      </c>
      <c r="E82" t="inlineStr">
        <is>
          <t>HOFORS</t>
        </is>
      </c>
      <c r="G82" t="n">
        <v>2</v>
      </c>
      <c r="H82" t="n">
        <v>0</v>
      </c>
      <c r="I82" t="n">
        <v>0</v>
      </c>
      <c r="J82" t="n">
        <v>0</v>
      </c>
      <c r="K82" t="n">
        <v>0</v>
      </c>
      <c r="L82" t="n">
        <v>0</v>
      </c>
      <c r="M82" t="n">
        <v>0</v>
      </c>
      <c r="N82" t="n">
        <v>0</v>
      </c>
      <c r="O82" t="n">
        <v>0</v>
      </c>
      <c r="P82" t="n">
        <v>0</v>
      </c>
      <c r="Q82" t="n">
        <v>0</v>
      </c>
      <c r="R82" s="2" t="inlineStr"/>
    </row>
    <row r="83" ht="15" customHeight="1">
      <c r="A83" t="inlineStr">
        <is>
          <t>A 59116-2019</t>
        </is>
      </c>
      <c r="B83" s="1" t="n">
        <v>43775</v>
      </c>
      <c r="C83" s="1" t="n">
        <v>45471</v>
      </c>
      <c r="D83" t="inlineStr">
        <is>
          <t>GÄVLEBORGS LÄN</t>
        </is>
      </c>
      <c r="E83" t="inlineStr">
        <is>
          <t>HOFORS</t>
        </is>
      </c>
      <c r="G83" t="n">
        <v>0.5</v>
      </c>
      <c r="H83" t="n">
        <v>0</v>
      </c>
      <c r="I83" t="n">
        <v>0</v>
      </c>
      <c r="J83" t="n">
        <v>0</v>
      </c>
      <c r="K83" t="n">
        <v>0</v>
      </c>
      <c r="L83" t="n">
        <v>0</v>
      </c>
      <c r="M83" t="n">
        <v>0</v>
      </c>
      <c r="N83" t="n">
        <v>0</v>
      </c>
      <c r="O83" t="n">
        <v>0</v>
      </c>
      <c r="P83" t="n">
        <v>0</v>
      </c>
      <c r="Q83" t="n">
        <v>0</v>
      </c>
      <c r="R83" s="2" t="inlineStr"/>
    </row>
    <row r="84" ht="15" customHeight="1">
      <c r="A84" t="inlineStr">
        <is>
          <t>A 59115-2019</t>
        </is>
      </c>
      <c r="B84" s="1" t="n">
        <v>43775</v>
      </c>
      <c r="C84" s="1" t="n">
        <v>45471</v>
      </c>
      <c r="D84" t="inlineStr">
        <is>
          <t>GÄVLEBORGS LÄN</t>
        </is>
      </c>
      <c r="E84" t="inlineStr">
        <is>
          <t>HOFORS</t>
        </is>
      </c>
      <c r="G84" t="n">
        <v>0.7</v>
      </c>
      <c r="H84" t="n">
        <v>0</v>
      </c>
      <c r="I84" t="n">
        <v>0</v>
      </c>
      <c r="J84" t="n">
        <v>0</v>
      </c>
      <c r="K84" t="n">
        <v>0</v>
      </c>
      <c r="L84" t="n">
        <v>0</v>
      </c>
      <c r="M84" t="n">
        <v>0</v>
      </c>
      <c r="N84" t="n">
        <v>0</v>
      </c>
      <c r="O84" t="n">
        <v>0</v>
      </c>
      <c r="P84" t="n">
        <v>0</v>
      </c>
      <c r="Q84" t="n">
        <v>0</v>
      </c>
      <c r="R84" s="2" t="inlineStr"/>
    </row>
    <row r="85" ht="15" customHeight="1">
      <c r="A85" t="inlineStr">
        <is>
          <t>A 60049-2019</t>
        </is>
      </c>
      <c r="B85" s="1" t="n">
        <v>43777</v>
      </c>
      <c r="C85" s="1" t="n">
        <v>45471</v>
      </c>
      <c r="D85" t="inlineStr">
        <is>
          <t>GÄVLEBORGS LÄN</t>
        </is>
      </c>
      <c r="E85" t="inlineStr">
        <is>
          <t>HOFORS</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60262-2019</t>
        </is>
      </c>
      <c r="B86" s="1" t="n">
        <v>43780</v>
      </c>
      <c r="C86" s="1" t="n">
        <v>45471</v>
      </c>
      <c r="D86" t="inlineStr">
        <is>
          <t>GÄVLEBORGS LÄN</t>
        </is>
      </c>
      <c r="E86" t="inlineStr">
        <is>
          <t>HOFORS</t>
        </is>
      </c>
      <c r="F86" t="inlineStr">
        <is>
          <t>Sveaskog</t>
        </is>
      </c>
      <c r="G86" t="n">
        <v>5</v>
      </c>
      <c r="H86" t="n">
        <v>0</v>
      </c>
      <c r="I86" t="n">
        <v>0</v>
      </c>
      <c r="J86" t="n">
        <v>0</v>
      </c>
      <c r="K86" t="n">
        <v>0</v>
      </c>
      <c r="L86" t="n">
        <v>0</v>
      </c>
      <c r="M86" t="n">
        <v>0</v>
      </c>
      <c r="N86" t="n">
        <v>0</v>
      </c>
      <c r="O86" t="n">
        <v>0</v>
      </c>
      <c r="P86" t="n">
        <v>0</v>
      </c>
      <c r="Q86" t="n">
        <v>0</v>
      </c>
      <c r="R86" s="2" t="inlineStr"/>
    </row>
    <row r="87" ht="15" customHeight="1">
      <c r="A87" t="inlineStr">
        <is>
          <t>A 60552-2019</t>
        </is>
      </c>
      <c r="B87" s="1" t="n">
        <v>43781</v>
      </c>
      <c r="C87" s="1" t="n">
        <v>45471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62091-2019</t>
        </is>
      </c>
      <c r="B88" s="1" t="n">
        <v>43782</v>
      </c>
      <c r="C88" s="1" t="n">
        <v>45471</v>
      </c>
      <c r="D88" t="inlineStr">
        <is>
          <t>GÄVLEBORGS LÄN</t>
        </is>
      </c>
      <c r="E88" t="inlineStr">
        <is>
          <t>HOFORS</t>
        </is>
      </c>
      <c r="G88" t="n">
        <v>5</v>
      </c>
      <c r="H88" t="n">
        <v>0</v>
      </c>
      <c r="I88" t="n">
        <v>0</v>
      </c>
      <c r="J88" t="n">
        <v>0</v>
      </c>
      <c r="K88" t="n">
        <v>0</v>
      </c>
      <c r="L88" t="n">
        <v>0</v>
      </c>
      <c r="M88" t="n">
        <v>0</v>
      </c>
      <c r="N88" t="n">
        <v>0</v>
      </c>
      <c r="O88" t="n">
        <v>0</v>
      </c>
      <c r="P88" t="n">
        <v>0</v>
      </c>
      <c r="Q88" t="n">
        <v>0</v>
      </c>
      <c r="R88" s="2" t="inlineStr"/>
    </row>
    <row r="89" ht="15" customHeight="1">
      <c r="A89" t="inlineStr">
        <is>
          <t>A 61168-2019</t>
        </is>
      </c>
      <c r="B89" s="1" t="n">
        <v>43782</v>
      </c>
      <c r="C89" s="1" t="n">
        <v>45471</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63588-2019</t>
        </is>
      </c>
      <c r="B90" s="1" t="n">
        <v>43795</v>
      </c>
      <c r="C90" s="1" t="n">
        <v>45471</v>
      </c>
      <c r="D90" t="inlineStr">
        <is>
          <t>GÄVLEBORGS LÄN</t>
        </is>
      </c>
      <c r="E90" t="inlineStr">
        <is>
          <t>HOFORS</t>
        </is>
      </c>
      <c r="G90" t="n">
        <v>1.5</v>
      </c>
      <c r="H90" t="n">
        <v>0</v>
      </c>
      <c r="I90" t="n">
        <v>0</v>
      </c>
      <c r="J90" t="n">
        <v>0</v>
      </c>
      <c r="K90" t="n">
        <v>0</v>
      </c>
      <c r="L90" t="n">
        <v>0</v>
      </c>
      <c r="M90" t="n">
        <v>0</v>
      </c>
      <c r="N90" t="n">
        <v>0</v>
      </c>
      <c r="O90" t="n">
        <v>0</v>
      </c>
      <c r="P90" t="n">
        <v>0</v>
      </c>
      <c r="Q90" t="n">
        <v>0</v>
      </c>
      <c r="R90" s="2" t="inlineStr"/>
    </row>
    <row r="91" ht="15" customHeight="1">
      <c r="A91" t="inlineStr">
        <is>
          <t>A 63585-2019</t>
        </is>
      </c>
      <c r="B91" s="1" t="n">
        <v>43795</v>
      </c>
      <c r="C91" s="1" t="n">
        <v>45471</v>
      </c>
      <c r="D91" t="inlineStr">
        <is>
          <t>GÄVLEBORGS LÄN</t>
        </is>
      </c>
      <c r="E91" t="inlineStr">
        <is>
          <t>HOFORS</t>
        </is>
      </c>
      <c r="G91" t="n">
        <v>2.2</v>
      </c>
      <c r="H91" t="n">
        <v>0</v>
      </c>
      <c r="I91" t="n">
        <v>0</v>
      </c>
      <c r="J91" t="n">
        <v>0</v>
      </c>
      <c r="K91" t="n">
        <v>0</v>
      </c>
      <c r="L91" t="n">
        <v>0</v>
      </c>
      <c r="M91" t="n">
        <v>0</v>
      </c>
      <c r="N91" t="n">
        <v>0</v>
      </c>
      <c r="O91" t="n">
        <v>0</v>
      </c>
      <c r="P91" t="n">
        <v>0</v>
      </c>
      <c r="Q91" t="n">
        <v>0</v>
      </c>
      <c r="R91" s="2" t="inlineStr"/>
    </row>
    <row r="92" ht="15" customHeight="1">
      <c r="A92" t="inlineStr">
        <is>
          <t>A 6645-2020</t>
        </is>
      </c>
      <c r="B92" s="1" t="n">
        <v>43867</v>
      </c>
      <c r="C92" s="1" t="n">
        <v>45471</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6678-2020</t>
        </is>
      </c>
      <c r="B93" s="1" t="n">
        <v>43867</v>
      </c>
      <c r="C93" s="1" t="n">
        <v>45471</v>
      </c>
      <c r="D93" t="inlineStr">
        <is>
          <t>GÄVLEBORGS LÄN</t>
        </is>
      </c>
      <c r="E93" t="inlineStr">
        <is>
          <t>HOFORS</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11130-2020</t>
        </is>
      </c>
      <c r="B94" s="1" t="n">
        <v>43889</v>
      </c>
      <c r="C94" s="1" t="n">
        <v>45471</v>
      </c>
      <c r="D94" t="inlineStr">
        <is>
          <t>GÄVLEBORGS LÄN</t>
        </is>
      </c>
      <c r="E94" t="inlineStr">
        <is>
          <t>HOFORS</t>
        </is>
      </c>
      <c r="F94" t="inlineStr">
        <is>
          <t>Sveaskog</t>
        </is>
      </c>
      <c r="G94" t="n">
        <v>0.1</v>
      </c>
      <c r="H94" t="n">
        <v>0</v>
      </c>
      <c r="I94" t="n">
        <v>0</v>
      </c>
      <c r="J94" t="n">
        <v>0</v>
      </c>
      <c r="K94" t="n">
        <v>0</v>
      </c>
      <c r="L94" t="n">
        <v>0</v>
      </c>
      <c r="M94" t="n">
        <v>0</v>
      </c>
      <c r="N94" t="n">
        <v>0</v>
      </c>
      <c r="O94" t="n">
        <v>0</v>
      </c>
      <c r="P94" t="n">
        <v>0</v>
      </c>
      <c r="Q94" t="n">
        <v>0</v>
      </c>
      <c r="R94" s="2" t="inlineStr"/>
    </row>
    <row r="95" ht="15" customHeight="1">
      <c r="A95" t="inlineStr">
        <is>
          <t>A 11131-2020</t>
        </is>
      </c>
      <c r="B95" s="1" t="n">
        <v>43889</v>
      </c>
      <c r="C95" s="1" t="n">
        <v>45471</v>
      </c>
      <c r="D95" t="inlineStr">
        <is>
          <t>GÄVLEBORGS LÄN</t>
        </is>
      </c>
      <c r="E95" t="inlineStr">
        <is>
          <t>HOFORS</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11133-2020</t>
        </is>
      </c>
      <c r="B96" s="1" t="n">
        <v>43889</v>
      </c>
      <c r="C96" s="1" t="n">
        <v>45471</v>
      </c>
      <c r="D96" t="inlineStr">
        <is>
          <t>GÄVLEBORGS LÄN</t>
        </is>
      </c>
      <c r="E96" t="inlineStr">
        <is>
          <t>HOFORS</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12406-2020</t>
        </is>
      </c>
      <c r="B97" s="1" t="n">
        <v>43896</v>
      </c>
      <c r="C97" s="1" t="n">
        <v>45471</v>
      </c>
      <c r="D97" t="inlineStr">
        <is>
          <t>GÄVLEBORGS LÄN</t>
        </is>
      </c>
      <c r="E97" t="inlineStr">
        <is>
          <t>HOFORS</t>
        </is>
      </c>
      <c r="G97" t="n">
        <v>0.9</v>
      </c>
      <c r="H97" t="n">
        <v>0</v>
      </c>
      <c r="I97" t="n">
        <v>0</v>
      </c>
      <c r="J97" t="n">
        <v>0</v>
      </c>
      <c r="K97" t="n">
        <v>0</v>
      </c>
      <c r="L97" t="n">
        <v>0</v>
      </c>
      <c r="M97" t="n">
        <v>0</v>
      </c>
      <c r="N97" t="n">
        <v>0</v>
      </c>
      <c r="O97" t="n">
        <v>0</v>
      </c>
      <c r="P97" t="n">
        <v>0</v>
      </c>
      <c r="Q97" t="n">
        <v>0</v>
      </c>
      <c r="R97" s="2" t="inlineStr"/>
    </row>
    <row r="98" ht="15" customHeight="1">
      <c r="A98" t="inlineStr">
        <is>
          <t>A 28681-2020</t>
        </is>
      </c>
      <c r="B98" s="1" t="n">
        <v>43999</v>
      </c>
      <c r="C98" s="1" t="n">
        <v>45471</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29321-2020</t>
        </is>
      </c>
      <c r="B99" s="1" t="n">
        <v>44000</v>
      </c>
      <c r="C99" s="1" t="n">
        <v>45471</v>
      </c>
      <c r="D99" t="inlineStr">
        <is>
          <t>GÄVLEBORGS LÄN</t>
        </is>
      </c>
      <c r="E99" t="inlineStr">
        <is>
          <t>HOFORS</t>
        </is>
      </c>
      <c r="G99" t="n">
        <v>7.1</v>
      </c>
      <c r="H99" t="n">
        <v>0</v>
      </c>
      <c r="I99" t="n">
        <v>0</v>
      </c>
      <c r="J99" t="n">
        <v>0</v>
      </c>
      <c r="K99" t="n">
        <v>0</v>
      </c>
      <c r="L99" t="n">
        <v>0</v>
      </c>
      <c r="M99" t="n">
        <v>0</v>
      </c>
      <c r="N99" t="n">
        <v>0</v>
      </c>
      <c r="O99" t="n">
        <v>0</v>
      </c>
      <c r="P99" t="n">
        <v>0</v>
      </c>
      <c r="Q99" t="n">
        <v>0</v>
      </c>
      <c r="R99" s="2" t="inlineStr"/>
    </row>
    <row r="100" ht="15" customHeight="1">
      <c r="A100" t="inlineStr">
        <is>
          <t>A 31794-2020</t>
        </is>
      </c>
      <c r="B100" s="1" t="n">
        <v>44014</v>
      </c>
      <c r="C100" s="1" t="n">
        <v>45471</v>
      </c>
      <c r="D100" t="inlineStr">
        <is>
          <t>GÄVLEBORGS LÄN</t>
        </is>
      </c>
      <c r="E100" t="inlineStr">
        <is>
          <t>HOFORS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32342-2020</t>
        </is>
      </c>
      <c r="B101" s="1" t="n">
        <v>44016</v>
      </c>
      <c r="C101" s="1" t="n">
        <v>45471</v>
      </c>
      <c r="D101" t="inlineStr">
        <is>
          <t>GÄVLEBORGS LÄN</t>
        </is>
      </c>
      <c r="E101" t="inlineStr">
        <is>
          <t>HOFORS</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36111-2020</t>
        </is>
      </c>
      <c r="B102" s="1" t="n">
        <v>44048</v>
      </c>
      <c r="C102" s="1" t="n">
        <v>45471</v>
      </c>
      <c r="D102" t="inlineStr">
        <is>
          <t>GÄVLEBORGS LÄN</t>
        </is>
      </c>
      <c r="E102" t="inlineStr">
        <is>
          <t>HOFORS</t>
        </is>
      </c>
      <c r="G102" t="n">
        <v>1.3</v>
      </c>
      <c r="H102" t="n">
        <v>0</v>
      </c>
      <c r="I102" t="n">
        <v>0</v>
      </c>
      <c r="J102" t="n">
        <v>0</v>
      </c>
      <c r="K102" t="n">
        <v>0</v>
      </c>
      <c r="L102" t="n">
        <v>0</v>
      </c>
      <c r="M102" t="n">
        <v>0</v>
      </c>
      <c r="N102" t="n">
        <v>0</v>
      </c>
      <c r="O102" t="n">
        <v>0</v>
      </c>
      <c r="P102" t="n">
        <v>0</v>
      </c>
      <c r="Q102" t="n">
        <v>0</v>
      </c>
      <c r="R102" s="2" t="inlineStr"/>
    </row>
    <row r="103" ht="15" customHeight="1">
      <c r="A103" t="inlineStr">
        <is>
          <t>A 36467-2020</t>
        </is>
      </c>
      <c r="B103" s="1" t="n">
        <v>44049</v>
      </c>
      <c r="C103" s="1" t="n">
        <v>45471</v>
      </c>
      <c r="D103" t="inlineStr">
        <is>
          <t>GÄVLEBORGS LÄN</t>
        </is>
      </c>
      <c r="E103" t="inlineStr">
        <is>
          <t>HOFORS</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37851-2020</t>
        </is>
      </c>
      <c r="B104" s="1" t="n">
        <v>44057</v>
      </c>
      <c r="C104" s="1" t="n">
        <v>45471</v>
      </c>
      <c r="D104" t="inlineStr">
        <is>
          <t>GÄVLEBORGS LÄN</t>
        </is>
      </c>
      <c r="E104" t="inlineStr">
        <is>
          <t>HOFORS</t>
        </is>
      </c>
      <c r="G104" t="n">
        <v>0.5</v>
      </c>
      <c r="H104" t="n">
        <v>0</v>
      </c>
      <c r="I104" t="n">
        <v>0</v>
      </c>
      <c r="J104" t="n">
        <v>0</v>
      </c>
      <c r="K104" t="n">
        <v>0</v>
      </c>
      <c r="L104" t="n">
        <v>0</v>
      </c>
      <c r="M104" t="n">
        <v>0</v>
      </c>
      <c r="N104" t="n">
        <v>0</v>
      </c>
      <c r="O104" t="n">
        <v>0</v>
      </c>
      <c r="P104" t="n">
        <v>0</v>
      </c>
      <c r="Q104" t="n">
        <v>0</v>
      </c>
      <c r="R104" s="2" t="inlineStr"/>
    </row>
    <row r="105" ht="15" customHeight="1">
      <c r="A105" t="inlineStr">
        <is>
          <t>A 42959-2020</t>
        </is>
      </c>
      <c r="B105" s="1" t="n">
        <v>44078</v>
      </c>
      <c r="C105" s="1" t="n">
        <v>45471</v>
      </c>
      <c r="D105" t="inlineStr">
        <is>
          <t>GÄVLEBORGS LÄN</t>
        </is>
      </c>
      <c r="E105" t="inlineStr">
        <is>
          <t>HOFORS</t>
        </is>
      </c>
      <c r="G105" t="n">
        <v>0.7</v>
      </c>
      <c r="H105" t="n">
        <v>0</v>
      </c>
      <c r="I105" t="n">
        <v>0</v>
      </c>
      <c r="J105" t="n">
        <v>0</v>
      </c>
      <c r="K105" t="n">
        <v>0</v>
      </c>
      <c r="L105" t="n">
        <v>0</v>
      </c>
      <c r="M105" t="n">
        <v>0</v>
      </c>
      <c r="N105" t="n">
        <v>0</v>
      </c>
      <c r="O105" t="n">
        <v>0</v>
      </c>
      <c r="P105" t="n">
        <v>0</v>
      </c>
      <c r="Q105" t="n">
        <v>0</v>
      </c>
      <c r="R105" s="2" t="inlineStr"/>
    </row>
    <row r="106" ht="15" customHeight="1">
      <c r="A106" t="inlineStr">
        <is>
          <t>A 43907-2020</t>
        </is>
      </c>
      <c r="B106" s="1" t="n">
        <v>44083</v>
      </c>
      <c r="C106" s="1" t="n">
        <v>45471</v>
      </c>
      <c r="D106" t="inlineStr">
        <is>
          <t>GÄVLEBORGS LÄN</t>
        </is>
      </c>
      <c r="E106" t="inlineStr">
        <is>
          <t>HOFORS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44230-2020</t>
        </is>
      </c>
      <c r="B107" s="1" t="n">
        <v>44084</v>
      </c>
      <c r="C107" s="1" t="n">
        <v>45471</v>
      </c>
      <c r="D107" t="inlineStr">
        <is>
          <t>GÄVLEBORGS LÄN</t>
        </is>
      </c>
      <c r="E107" t="inlineStr">
        <is>
          <t>HOFORS</t>
        </is>
      </c>
      <c r="G107" t="n">
        <v>9.4</v>
      </c>
      <c r="H107" t="n">
        <v>0</v>
      </c>
      <c r="I107" t="n">
        <v>0</v>
      </c>
      <c r="J107" t="n">
        <v>0</v>
      </c>
      <c r="K107" t="n">
        <v>0</v>
      </c>
      <c r="L107" t="n">
        <v>0</v>
      </c>
      <c r="M107" t="n">
        <v>0</v>
      </c>
      <c r="N107" t="n">
        <v>0</v>
      </c>
      <c r="O107" t="n">
        <v>0</v>
      </c>
      <c r="P107" t="n">
        <v>0</v>
      </c>
      <c r="Q107" t="n">
        <v>0</v>
      </c>
      <c r="R107" s="2" t="inlineStr"/>
    </row>
    <row r="108" ht="15" customHeight="1">
      <c r="A108" t="inlineStr">
        <is>
          <t>A 46269-2020</t>
        </is>
      </c>
      <c r="B108" s="1" t="n">
        <v>44092</v>
      </c>
      <c r="C108" s="1" t="n">
        <v>45471</v>
      </c>
      <c r="D108" t="inlineStr">
        <is>
          <t>GÄVLEBORGS LÄN</t>
        </is>
      </c>
      <c r="E108" t="inlineStr">
        <is>
          <t>HOFORS</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46274-2020</t>
        </is>
      </c>
      <c r="B109" s="1" t="n">
        <v>44092</v>
      </c>
      <c r="C109" s="1" t="n">
        <v>45471</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46281-2020</t>
        </is>
      </c>
      <c r="B110" s="1" t="n">
        <v>44092</v>
      </c>
      <c r="C110" s="1" t="n">
        <v>45471</v>
      </c>
      <c r="D110" t="inlineStr">
        <is>
          <t>GÄVLEBORGS LÄN</t>
        </is>
      </c>
      <c r="E110" t="inlineStr">
        <is>
          <t>HOFORS</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46270-2020</t>
        </is>
      </c>
      <c r="B111" s="1" t="n">
        <v>44092</v>
      </c>
      <c r="C111" s="1" t="n">
        <v>45471</v>
      </c>
      <c r="D111" t="inlineStr">
        <is>
          <t>GÄVLEBORGS LÄN</t>
        </is>
      </c>
      <c r="E111" t="inlineStr">
        <is>
          <t>HOFORS</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46278-2020</t>
        </is>
      </c>
      <c r="B112" s="1" t="n">
        <v>44092</v>
      </c>
      <c r="C112" s="1" t="n">
        <v>45471</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49708-2020</t>
        </is>
      </c>
      <c r="B113" s="1" t="n">
        <v>44106</v>
      </c>
      <c r="C113" s="1" t="n">
        <v>45471</v>
      </c>
      <c r="D113" t="inlineStr">
        <is>
          <t>GÄVLEBORGS LÄN</t>
        </is>
      </c>
      <c r="E113" t="inlineStr">
        <is>
          <t>HOFORS</t>
        </is>
      </c>
      <c r="G113" t="n">
        <v>1.8</v>
      </c>
      <c r="H113" t="n">
        <v>0</v>
      </c>
      <c r="I113" t="n">
        <v>0</v>
      </c>
      <c r="J113" t="n">
        <v>0</v>
      </c>
      <c r="K113" t="n">
        <v>0</v>
      </c>
      <c r="L113" t="n">
        <v>0</v>
      </c>
      <c r="M113" t="n">
        <v>0</v>
      </c>
      <c r="N113" t="n">
        <v>0</v>
      </c>
      <c r="O113" t="n">
        <v>0</v>
      </c>
      <c r="P113" t="n">
        <v>0</v>
      </c>
      <c r="Q113" t="n">
        <v>0</v>
      </c>
      <c r="R113" s="2" t="inlineStr"/>
    </row>
    <row r="114" ht="15" customHeight="1">
      <c r="A114" t="inlineStr">
        <is>
          <t>A 55301-2020</t>
        </is>
      </c>
      <c r="B114" s="1" t="n">
        <v>44130</v>
      </c>
      <c r="C114" s="1" t="n">
        <v>45471</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56671-2020</t>
        </is>
      </c>
      <c r="B115" s="1" t="n">
        <v>44137</v>
      </c>
      <c r="C115" s="1" t="n">
        <v>45471</v>
      </c>
      <c r="D115" t="inlineStr">
        <is>
          <t>GÄVLEBORGS LÄN</t>
        </is>
      </c>
      <c r="E115" t="inlineStr">
        <is>
          <t>HOFORS</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56603-2020</t>
        </is>
      </c>
      <c r="B116" s="1" t="n">
        <v>44137</v>
      </c>
      <c r="C116" s="1" t="n">
        <v>45471</v>
      </c>
      <c r="D116" t="inlineStr">
        <is>
          <t>GÄVLEBORGS LÄN</t>
        </is>
      </c>
      <c r="E116" t="inlineStr">
        <is>
          <t>HOFORS</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58322-2020</t>
        </is>
      </c>
      <c r="B117" s="1" t="n">
        <v>44145</v>
      </c>
      <c r="C117" s="1" t="n">
        <v>45471</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58338-2020</t>
        </is>
      </c>
      <c r="B118" s="1" t="n">
        <v>44145</v>
      </c>
      <c r="C118" s="1" t="n">
        <v>45471</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61836-2020</t>
        </is>
      </c>
      <c r="B119" s="1" t="n">
        <v>44159</v>
      </c>
      <c r="C119" s="1" t="n">
        <v>45471</v>
      </c>
      <c r="D119" t="inlineStr">
        <is>
          <t>GÄVLEBORGS LÄN</t>
        </is>
      </c>
      <c r="E119" t="inlineStr">
        <is>
          <t>HOFORS</t>
        </is>
      </c>
      <c r="G119" t="n">
        <v>12.4</v>
      </c>
      <c r="H119" t="n">
        <v>0</v>
      </c>
      <c r="I119" t="n">
        <v>0</v>
      </c>
      <c r="J119" t="n">
        <v>0</v>
      </c>
      <c r="K119" t="n">
        <v>0</v>
      </c>
      <c r="L119" t="n">
        <v>0</v>
      </c>
      <c r="M119" t="n">
        <v>0</v>
      </c>
      <c r="N119" t="n">
        <v>0</v>
      </c>
      <c r="O119" t="n">
        <v>0</v>
      </c>
      <c r="P119" t="n">
        <v>0</v>
      </c>
      <c r="Q119" t="n">
        <v>0</v>
      </c>
      <c r="R119" s="2" t="inlineStr"/>
    </row>
    <row r="120" ht="15" customHeight="1">
      <c r="A120" t="inlineStr">
        <is>
          <t>A 61835-2020</t>
        </is>
      </c>
      <c r="B120" s="1" t="n">
        <v>44159</v>
      </c>
      <c r="C120" s="1" t="n">
        <v>45471</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62475-2020</t>
        </is>
      </c>
      <c r="B121" s="1" t="n">
        <v>44160</v>
      </c>
      <c r="C121" s="1" t="n">
        <v>45471</v>
      </c>
      <c r="D121" t="inlineStr">
        <is>
          <t>GÄVLEBORGS LÄN</t>
        </is>
      </c>
      <c r="E121" t="inlineStr">
        <is>
          <t>HOFORS</t>
        </is>
      </c>
      <c r="G121" t="n">
        <v>1.2</v>
      </c>
      <c r="H121" t="n">
        <v>0</v>
      </c>
      <c r="I121" t="n">
        <v>0</v>
      </c>
      <c r="J121" t="n">
        <v>0</v>
      </c>
      <c r="K121" t="n">
        <v>0</v>
      </c>
      <c r="L121" t="n">
        <v>0</v>
      </c>
      <c r="M121" t="n">
        <v>0</v>
      </c>
      <c r="N121" t="n">
        <v>0</v>
      </c>
      <c r="O121" t="n">
        <v>0</v>
      </c>
      <c r="P121" t="n">
        <v>0</v>
      </c>
      <c r="Q121" t="n">
        <v>0</v>
      </c>
      <c r="R121" s="2" t="inlineStr"/>
    </row>
    <row r="122" ht="15" customHeight="1">
      <c r="A122" t="inlineStr">
        <is>
          <t>A 63951-2020</t>
        </is>
      </c>
      <c r="B122" s="1" t="n">
        <v>44167</v>
      </c>
      <c r="C122" s="1" t="n">
        <v>45471</v>
      </c>
      <c r="D122" t="inlineStr">
        <is>
          <t>GÄVLEBORGS LÄN</t>
        </is>
      </c>
      <c r="E122" t="inlineStr">
        <is>
          <t>HOFORS</t>
        </is>
      </c>
      <c r="G122" t="n">
        <v>3.2</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45471</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3802-2021</t>
        </is>
      </c>
      <c r="B124" s="1" t="n">
        <v>44221</v>
      </c>
      <c r="C124" s="1" t="n">
        <v>45471</v>
      </c>
      <c r="D124" t="inlineStr">
        <is>
          <t>GÄVLEBORGS LÄN</t>
        </is>
      </c>
      <c r="E124" t="inlineStr">
        <is>
          <t>HOFORS</t>
        </is>
      </c>
      <c r="G124" t="n">
        <v>0.7</v>
      </c>
      <c r="H124" t="n">
        <v>0</v>
      </c>
      <c r="I124" t="n">
        <v>0</v>
      </c>
      <c r="J124" t="n">
        <v>0</v>
      </c>
      <c r="K124" t="n">
        <v>0</v>
      </c>
      <c r="L124" t="n">
        <v>0</v>
      </c>
      <c r="M124" t="n">
        <v>0</v>
      </c>
      <c r="N124" t="n">
        <v>0</v>
      </c>
      <c r="O124" t="n">
        <v>0</v>
      </c>
      <c r="P124" t="n">
        <v>0</v>
      </c>
      <c r="Q124" t="n">
        <v>0</v>
      </c>
      <c r="R124" s="2" t="inlineStr"/>
    </row>
    <row r="125" ht="15" customHeight="1">
      <c r="A125" t="inlineStr">
        <is>
          <t>A 5557-2021</t>
        </is>
      </c>
      <c r="B125" s="1" t="n">
        <v>44230</v>
      </c>
      <c r="C125" s="1" t="n">
        <v>45471</v>
      </c>
      <c r="D125" t="inlineStr">
        <is>
          <t>GÄVLEBORGS LÄN</t>
        </is>
      </c>
      <c r="E125" t="inlineStr">
        <is>
          <t>HOFORS</t>
        </is>
      </c>
      <c r="G125" t="n">
        <v>4</v>
      </c>
      <c r="H125" t="n">
        <v>0</v>
      </c>
      <c r="I125" t="n">
        <v>0</v>
      </c>
      <c r="J125" t="n">
        <v>0</v>
      </c>
      <c r="K125" t="n">
        <v>0</v>
      </c>
      <c r="L125" t="n">
        <v>0</v>
      </c>
      <c r="M125" t="n">
        <v>0</v>
      </c>
      <c r="N125" t="n">
        <v>0</v>
      </c>
      <c r="O125" t="n">
        <v>0</v>
      </c>
      <c r="P125" t="n">
        <v>0</v>
      </c>
      <c r="Q125" t="n">
        <v>0</v>
      </c>
      <c r="R125" s="2" t="inlineStr"/>
    </row>
    <row r="126" ht="15" customHeight="1">
      <c r="A126" t="inlineStr">
        <is>
          <t>A 12057-2021</t>
        </is>
      </c>
      <c r="B126" s="1" t="n">
        <v>44266</v>
      </c>
      <c r="C126" s="1" t="n">
        <v>45471</v>
      </c>
      <c r="D126" t="inlineStr">
        <is>
          <t>GÄVLEBORGS LÄN</t>
        </is>
      </c>
      <c r="E126" t="inlineStr">
        <is>
          <t>HOFORS</t>
        </is>
      </c>
      <c r="G126" t="n">
        <v>2.6</v>
      </c>
      <c r="H126" t="n">
        <v>0</v>
      </c>
      <c r="I126" t="n">
        <v>0</v>
      </c>
      <c r="J126" t="n">
        <v>0</v>
      </c>
      <c r="K126" t="n">
        <v>0</v>
      </c>
      <c r="L126" t="n">
        <v>0</v>
      </c>
      <c r="M126" t="n">
        <v>0</v>
      </c>
      <c r="N126" t="n">
        <v>0</v>
      </c>
      <c r="O126" t="n">
        <v>0</v>
      </c>
      <c r="P126" t="n">
        <v>0</v>
      </c>
      <c r="Q126" t="n">
        <v>0</v>
      </c>
      <c r="R126" s="2" t="inlineStr"/>
    </row>
    <row r="127" ht="15" customHeight="1">
      <c r="A127" t="inlineStr">
        <is>
          <t>A 12399-2021</t>
        </is>
      </c>
      <c r="B127" s="1" t="n">
        <v>44267</v>
      </c>
      <c r="C127" s="1" t="n">
        <v>45471</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16985-2021</t>
        </is>
      </c>
      <c r="B128" s="1" t="n">
        <v>44295</v>
      </c>
      <c r="C128" s="1" t="n">
        <v>45471</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20119-2021</t>
        </is>
      </c>
      <c r="B129" s="1" t="n">
        <v>44314</v>
      </c>
      <c r="C129" s="1" t="n">
        <v>45471</v>
      </c>
      <c r="D129" t="inlineStr">
        <is>
          <t>GÄVLEBORGS LÄN</t>
        </is>
      </c>
      <c r="E129" t="inlineStr">
        <is>
          <t>HOFORS</t>
        </is>
      </c>
      <c r="G129" t="n">
        <v>3.9</v>
      </c>
      <c r="H129" t="n">
        <v>0</v>
      </c>
      <c r="I129" t="n">
        <v>0</v>
      </c>
      <c r="J129" t="n">
        <v>0</v>
      </c>
      <c r="K129" t="n">
        <v>0</v>
      </c>
      <c r="L129" t="n">
        <v>0</v>
      </c>
      <c r="M129" t="n">
        <v>0</v>
      </c>
      <c r="N129" t="n">
        <v>0</v>
      </c>
      <c r="O129" t="n">
        <v>0</v>
      </c>
      <c r="P129" t="n">
        <v>0</v>
      </c>
      <c r="Q129" t="n">
        <v>0</v>
      </c>
      <c r="R129" s="2" t="inlineStr"/>
    </row>
    <row r="130" ht="15" customHeight="1">
      <c r="A130" t="inlineStr">
        <is>
          <t>A 24851-2021</t>
        </is>
      </c>
      <c r="B130" s="1" t="n">
        <v>44340</v>
      </c>
      <c r="C130" s="1" t="n">
        <v>45471</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31123-2021</t>
        </is>
      </c>
      <c r="B131" s="1" t="n">
        <v>44368</v>
      </c>
      <c r="C131" s="1" t="n">
        <v>45471</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43274-2021</t>
        </is>
      </c>
      <c r="B132" s="1" t="n">
        <v>44432</v>
      </c>
      <c r="C132" s="1" t="n">
        <v>45471</v>
      </c>
      <c r="D132" t="inlineStr">
        <is>
          <t>GÄVLEBORGS LÄN</t>
        </is>
      </c>
      <c r="E132" t="inlineStr">
        <is>
          <t>HOFORS</t>
        </is>
      </c>
      <c r="F132" t="inlineStr">
        <is>
          <t>Sveaskog</t>
        </is>
      </c>
      <c r="G132" t="n">
        <v>5.8</v>
      </c>
      <c r="H132" t="n">
        <v>0</v>
      </c>
      <c r="I132" t="n">
        <v>0</v>
      </c>
      <c r="J132" t="n">
        <v>0</v>
      </c>
      <c r="K132" t="n">
        <v>0</v>
      </c>
      <c r="L132" t="n">
        <v>0</v>
      </c>
      <c r="M132" t="n">
        <v>0</v>
      </c>
      <c r="N132" t="n">
        <v>0</v>
      </c>
      <c r="O132" t="n">
        <v>0</v>
      </c>
      <c r="P132" t="n">
        <v>0</v>
      </c>
      <c r="Q132" t="n">
        <v>0</v>
      </c>
      <c r="R132" s="2" t="inlineStr"/>
    </row>
    <row r="133" ht="15" customHeight="1">
      <c r="A133" t="inlineStr">
        <is>
          <t>A 43282-2021</t>
        </is>
      </c>
      <c r="B133" s="1" t="n">
        <v>44432</v>
      </c>
      <c r="C133" s="1" t="n">
        <v>45471</v>
      </c>
      <c r="D133" t="inlineStr">
        <is>
          <t>GÄVLEBORGS LÄN</t>
        </is>
      </c>
      <c r="E133" t="inlineStr">
        <is>
          <t>HOFORS</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46364-2021</t>
        </is>
      </c>
      <c r="B134" s="1" t="n">
        <v>44442</v>
      </c>
      <c r="C134" s="1" t="n">
        <v>45471</v>
      </c>
      <c r="D134" t="inlineStr">
        <is>
          <t>GÄVLEBORGS LÄN</t>
        </is>
      </c>
      <c r="E134" t="inlineStr">
        <is>
          <t>HOFORS</t>
        </is>
      </c>
      <c r="F134" t="inlineStr">
        <is>
          <t>Sveaskog</t>
        </is>
      </c>
      <c r="G134" t="n">
        <v>4.4</v>
      </c>
      <c r="H134" t="n">
        <v>0</v>
      </c>
      <c r="I134" t="n">
        <v>0</v>
      </c>
      <c r="J134" t="n">
        <v>0</v>
      </c>
      <c r="K134" t="n">
        <v>0</v>
      </c>
      <c r="L134" t="n">
        <v>0</v>
      </c>
      <c r="M134" t="n">
        <v>0</v>
      </c>
      <c r="N134" t="n">
        <v>0</v>
      </c>
      <c r="O134" t="n">
        <v>0</v>
      </c>
      <c r="P134" t="n">
        <v>0</v>
      </c>
      <c r="Q134" t="n">
        <v>0</v>
      </c>
      <c r="R134" s="2" t="inlineStr"/>
      <c r="U134">
        <f>HYPERLINK("https://klasma.github.io/Logging_2104/knärot/A 46364-2021 karta knärot.png", "A 46364-2021")</f>
        <v/>
      </c>
      <c r="V134">
        <f>HYPERLINK("https://klasma.github.io/Logging_2104/klagomål/A 46364-2021 FSC-klagomål.docx", "A 46364-2021")</f>
        <v/>
      </c>
      <c r="W134">
        <f>HYPERLINK("https://klasma.github.io/Logging_2104/klagomålsmail/A 46364-2021 FSC-klagomål mail.docx", "A 46364-2021")</f>
        <v/>
      </c>
      <c r="X134">
        <f>HYPERLINK("https://klasma.github.io/Logging_2104/tillsyn/A 46364-2021 tillsynsbegäran.docx", "A 46364-2021")</f>
        <v/>
      </c>
      <c r="Y134">
        <f>HYPERLINK("https://klasma.github.io/Logging_2104/tillsynsmail/A 46364-2021 tillsynsbegäran mail.docx", "A 46364-2021")</f>
        <v/>
      </c>
    </row>
    <row r="135" ht="15" customHeight="1">
      <c r="A135" t="inlineStr">
        <is>
          <t>A 47531-2021</t>
        </is>
      </c>
      <c r="B135" s="1" t="n">
        <v>44447</v>
      </c>
      <c r="C135" s="1" t="n">
        <v>45471</v>
      </c>
      <c r="D135" t="inlineStr">
        <is>
          <t>GÄVLEBORGS LÄN</t>
        </is>
      </c>
      <c r="E135" t="inlineStr">
        <is>
          <t>HOFORS</t>
        </is>
      </c>
      <c r="G135" t="n">
        <v>7.6</v>
      </c>
      <c r="H135" t="n">
        <v>0</v>
      </c>
      <c r="I135" t="n">
        <v>0</v>
      </c>
      <c r="J135" t="n">
        <v>0</v>
      </c>
      <c r="K135" t="n">
        <v>0</v>
      </c>
      <c r="L135" t="n">
        <v>0</v>
      </c>
      <c r="M135" t="n">
        <v>0</v>
      </c>
      <c r="N135" t="n">
        <v>0</v>
      </c>
      <c r="O135" t="n">
        <v>0</v>
      </c>
      <c r="P135" t="n">
        <v>0</v>
      </c>
      <c r="Q135" t="n">
        <v>0</v>
      </c>
      <c r="R135" s="2" t="inlineStr"/>
    </row>
    <row r="136" ht="15" customHeight="1">
      <c r="A136" t="inlineStr">
        <is>
          <t>A 47485-2021</t>
        </is>
      </c>
      <c r="B136" s="1" t="n">
        <v>44447</v>
      </c>
      <c r="C136" s="1" t="n">
        <v>45471</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47538-2021</t>
        </is>
      </c>
      <c r="B137" s="1" t="n">
        <v>44447</v>
      </c>
      <c r="C137" s="1" t="n">
        <v>45471</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47639-2021</t>
        </is>
      </c>
      <c r="B138" s="1" t="n">
        <v>44448</v>
      </c>
      <c r="C138" s="1" t="n">
        <v>45471</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50278-2021</t>
        </is>
      </c>
      <c r="B139" s="1" t="n">
        <v>44456</v>
      </c>
      <c r="C139" s="1" t="n">
        <v>45471</v>
      </c>
      <c r="D139" t="inlineStr">
        <is>
          <t>GÄVLEBORGS LÄN</t>
        </is>
      </c>
      <c r="E139" t="inlineStr">
        <is>
          <t>HOFORS</t>
        </is>
      </c>
      <c r="G139" t="n">
        <v>1.7</v>
      </c>
      <c r="H139" t="n">
        <v>0</v>
      </c>
      <c r="I139" t="n">
        <v>0</v>
      </c>
      <c r="J139" t="n">
        <v>0</v>
      </c>
      <c r="K139" t="n">
        <v>0</v>
      </c>
      <c r="L139" t="n">
        <v>0</v>
      </c>
      <c r="M139" t="n">
        <v>0</v>
      </c>
      <c r="N139" t="n">
        <v>0</v>
      </c>
      <c r="O139" t="n">
        <v>0</v>
      </c>
      <c r="P139" t="n">
        <v>0</v>
      </c>
      <c r="Q139" t="n">
        <v>0</v>
      </c>
      <c r="R139" s="2" t="inlineStr"/>
    </row>
    <row r="140" ht="15" customHeight="1">
      <c r="A140" t="inlineStr">
        <is>
          <t>A 50681-2021</t>
        </is>
      </c>
      <c r="B140" s="1" t="n">
        <v>44460</v>
      </c>
      <c r="C140" s="1" t="n">
        <v>45471</v>
      </c>
      <c r="D140" t="inlineStr">
        <is>
          <t>GÄVLEBORGS LÄN</t>
        </is>
      </c>
      <c r="E140" t="inlineStr">
        <is>
          <t>HOFORS</t>
        </is>
      </c>
      <c r="F140" t="inlineStr">
        <is>
          <t>Bergvik skog öst AB</t>
        </is>
      </c>
      <c r="G140" t="n">
        <v>1.8</v>
      </c>
      <c r="H140" t="n">
        <v>0</v>
      </c>
      <c r="I140" t="n">
        <v>0</v>
      </c>
      <c r="J140" t="n">
        <v>0</v>
      </c>
      <c r="K140" t="n">
        <v>0</v>
      </c>
      <c r="L140" t="n">
        <v>0</v>
      </c>
      <c r="M140" t="n">
        <v>0</v>
      </c>
      <c r="N140" t="n">
        <v>0</v>
      </c>
      <c r="O140" t="n">
        <v>0</v>
      </c>
      <c r="P140" t="n">
        <v>0</v>
      </c>
      <c r="Q140" t="n">
        <v>0</v>
      </c>
      <c r="R140" s="2" t="inlineStr"/>
    </row>
    <row r="141" ht="15" customHeight="1">
      <c r="A141" t="inlineStr">
        <is>
          <t>A 52890-2021</t>
        </is>
      </c>
      <c r="B141" s="1" t="n">
        <v>44467</v>
      </c>
      <c r="C141" s="1" t="n">
        <v>45471</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54154-2021</t>
        </is>
      </c>
      <c r="B142" s="1" t="n">
        <v>44470</v>
      </c>
      <c r="C142" s="1" t="n">
        <v>45471</v>
      </c>
      <c r="D142" t="inlineStr">
        <is>
          <t>GÄVLEBORGS LÄN</t>
        </is>
      </c>
      <c r="E142" t="inlineStr">
        <is>
          <t>HOFORS</t>
        </is>
      </c>
      <c r="F142" t="inlineStr">
        <is>
          <t>Bergvik skog öst AB</t>
        </is>
      </c>
      <c r="G142" t="n">
        <v>7.8</v>
      </c>
      <c r="H142" t="n">
        <v>0</v>
      </c>
      <c r="I142" t="n">
        <v>0</v>
      </c>
      <c r="J142" t="n">
        <v>0</v>
      </c>
      <c r="K142" t="n">
        <v>0</v>
      </c>
      <c r="L142" t="n">
        <v>0</v>
      </c>
      <c r="M142" t="n">
        <v>0</v>
      </c>
      <c r="N142" t="n">
        <v>0</v>
      </c>
      <c r="O142" t="n">
        <v>0</v>
      </c>
      <c r="P142" t="n">
        <v>0</v>
      </c>
      <c r="Q142" t="n">
        <v>0</v>
      </c>
      <c r="R142" s="2" t="inlineStr"/>
    </row>
    <row r="143" ht="15" customHeight="1">
      <c r="A143" t="inlineStr">
        <is>
          <t>A 54616-2021</t>
        </is>
      </c>
      <c r="B143" s="1" t="n">
        <v>44473</v>
      </c>
      <c r="C143" s="1" t="n">
        <v>45471</v>
      </c>
      <c r="D143" t="inlineStr">
        <is>
          <t>GÄVLEBORGS LÄN</t>
        </is>
      </c>
      <c r="E143" t="inlineStr">
        <is>
          <t>HOFORS</t>
        </is>
      </c>
      <c r="F143" t="inlineStr">
        <is>
          <t>Bergvik skog väst AB</t>
        </is>
      </c>
      <c r="G143" t="n">
        <v>6.9</v>
      </c>
      <c r="H143" t="n">
        <v>0</v>
      </c>
      <c r="I143" t="n">
        <v>0</v>
      </c>
      <c r="J143" t="n">
        <v>0</v>
      </c>
      <c r="K143" t="n">
        <v>0</v>
      </c>
      <c r="L143" t="n">
        <v>0</v>
      </c>
      <c r="M143" t="n">
        <v>0</v>
      </c>
      <c r="N143" t="n">
        <v>0</v>
      </c>
      <c r="O143" t="n">
        <v>0</v>
      </c>
      <c r="P143" t="n">
        <v>0</v>
      </c>
      <c r="Q143" t="n">
        <v>0</v>
      </c>
      <c r="R143" s="2" t="inlineStr"/>
    </row>
    <row r="144" ht="15" customHeight="1">
      <c r="A144" t="inlineStr">
        <is>
          <t>A 54826-2021</t>
        </is>
      </c>
      <c r="B144" s="1" t="n">
        <v>44473</v>
      </c>
      <c r="C144" s="1" t="n">
        <v>45471</v>
      </c>
      <c r="D144" t="inlineStr">
        <is>
          <t>GÄVLEBORGS LÄN</t>
        </is>
      </c>
      <c r="E144" t="inlineStr">
        <is>
          <t>HOFORS</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57632-2021</t>
        </is>
      </c>
      <c r="B145" s="1" t="n">
        <v>44484</v>
      </c>
      <c r="C145" s="1" t="n">
        <v>45471</v>
      </c>
      <c r="D145" t="inlineStr">
        <is>
          <t>GÄVLEBORGS LÄN</t>
        </is>
      </c>
      <c r="E145" t="inlineStr">
        <is>
          <t>HOFORS</t>
        </is>
      </c>
      <c r="G145" t="n">
        <v>4.1</v>
      </c>
      <c r="H145" t="n">
        <v>0</v>
      </c>
      <c r="I145" t="n">
        <v>0</v>
      </c>
      <c r="J145" t="n">
        <v>0</v>
      </c>
      <c r="K145" t="n">
        <v>0</v>
      </c>
      <c r="L145" t="n">
        <v>0</v>
      </c>
      <c r="M145" t="n">
        <v>0</v>
      </c>
      <c r="N145" t="n">
        <v>0</v>
      </c>
      <c r="O145" t="n">
        <v>0</v>
      </c>
      <c r="P145" t="n">
        <v>0</v>
      </c>
      <c r="Q145" t="n">
        <v>0</v>
      </c>
      <c r="R145" s="2" t="inlineStr"/>
    </row>
    <row r="146" ht="15" customHeight="1">
      <c r="A146" t="inlineStr">
        <is>
          <t>A 58240-2021</t>
        </is>
      </c>
      <c r="B146" s="1" t="n">
        <v>44487</v>
      </c>
      <c r="C146" s="1" t="n">
        <v>45471</v>
      </c>
      <c r="D146" t="inlineStr">
        <is>
          <t>GÄVLEBORGS LÄN</t>
        </is>
      </c>
      <c r="E146" t="inlineStr">
        <is>
          <t>HOFORS</t>
        </is>
      </c>
      <c r="G146" t="n">
        <v>1.1</v>
      </c>
      <c r="H146" t="n">
        <v>0</v>
      </c>
      <c r="I146" t="n">
        <v>0</v>
      </c>
      <c r="J146" t="n">
        <v>0</v>
      </c>
      <c r="K146" t="n">
        <v>0</v>
      </c>
      <c r="L146" t="n">
        <v>0</v>
      </c>
      <c r="M146" t="n">
        <v>0</v>
      </c>
      <c r="N146" t="n">
        <v>0</v>
      </c>
      <c r="O146" t="n">
        <v>0</v>
      </c>
      <c r="P146" t="n">
        <v>0</v>
      </c>
      <c r="Q146" t="n">
        <v>0</v>
      </c>
      <c r="R146" s="2" t="inlineStr"/>
    </row>
    <row r="147" ht="15" customHeight="1">
      <c r="A147" t="inlineStr">
        <is>
          <t>A 58787-2021</t>
        </is>
      </c>
      <c r="B147" s="1" t="n">
        <v>44489</v>
      </c>
      <c r="C147" s="1" t="n">
        <v>45471</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61687-2021</t>
        </is>
      </c>
      <c r="B148" s="1" t="n">
        <v>44501</v>
      </c>
      <c r="C148" s="1" t="n">
        <v>45471</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62875-2021</t>
        </is>
      </c>
      <c r="B149" s="1" t="n">
        <v>44504</v>
      </c>
      <c r="C149" s="1" t="n">
        <v>45471</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64706-2021</t>
        </is>
      </c>
      <c r="B150" s="1" t="n">
        <v>44512</v>
      </c>
      <c r="C150" s="1" t="n">
        <v>45471</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68079-2021</t>
        </is>
      </c>
      <c r="B151" s="1" t="n">
        <v>44526</v>
      </c>
      <c r="C151" s="1" t="n">
        <v>45471</v>
      </c>
      <c r="D151" t="inlineStr">
        <is>
          <t>GÄVLEBORGS LÄN</t>
        </is>
      </c>
      <c r="E151" t="inlineStr">
        <is>
          <t>HOFORS</t>
        </is>
      </c>
      <c r="G151" t="n">
        <v>2.3</v>
      </c>
      <c r="H151" t="n">
        <v>0</v>
      </c>
      <c r="I151" t="n">
        <v>0</v>
      </c>
      <c r="J151" t="n">
        <v>0</v>
      </c>
      <c r="K151" t="n">
        <v>0</v>
      </c>
      <c r="L151" t="n">
        <v>0</v>
      </c>
      <c r="M151" t="n">
        <v>0</v>
      </c>
      <c r="N151" t="n">
        <v>0</v>
      </c>
      <c r="O151" t="n">
        <v>0</v>
      </c>
      <c r="P151" t="n">
        <v>0</v>
      </c>
      <c r="Q151" t="n">
        <v>0</v>
      </c>
      <c r="R151" s="2" t="inlineStr"/>
    </row>
    <row r="152" ht="15" customHeight="1">
      <c r="A152" t="inlineStr">
        <is>
          <t>A 68076-2021</t>
        </is>
      </c>
      <c r="B152" s="1" t="n">
        <v>44526</v>
      </c>
      <c r="C152" s="1" t="n">
        <v>45471</v>
      </c>
      <c r="D152" t="inlineStr">
        <is>
          <t>GÄVLEBORGS LÄN</t>
        </is>
      </c>
      <c r="E152" t="inlineStr">
        <is>
          <t>HOFORS</t>
        </is>
      </c>
      <c r="G152" t="n">
        <v>4.2</v>
      </c>
      <c r="H152" t="n">
        <v>0</v>
      </c>
      <c r="I152" t="n">
        <v>0</v>
      </c>
      <c r="J152" t="n">
        <v>0</v>
      </c>
      <c r="K152" t="n">
        <v>0</v>
      </c>
      <c r="L152" t="n">
        <v>0</v>
      </c>
      <c r="M152" t="n">
        <v>0</v>
      </c>
      <c r="N152" t="n">
        <v>0</v>
      </c>
      <c r="O152" t="n">
        <v>0</v>
      </c>
      <c r="P152" t="n">
        <v>0</v>
      </c>
      <c r="Q152" t="n">
        <v>0</v>
      </c>
      <c r="R152" s="2" t="inlineStr"/>
    </row>
    <row r="153" ht="15" customHeight="1">
      <c r="A153" t="inlineStr">
        <is>
          <t>A 68078-2021</t>
        </is>
      </c>
      <c r="B153" s="1" t="n">
        <v>44526</v>
      </c>
      <c r="C153" s="1" t="n">
        <v>45471</v>
      </c>
      <c r="D153" t="inlineStr">
        <is>
          <t>GÄVLEBORGS LÄN</t>
        </is>
      </c>
      <c r="E153" t="inlineStr">
        <is>
          <t>HOFORS</t>
        </is>
      </c>
      <c r="G153" t="n">
        <v>1.6</v>
      </c>
      <c r="H153" t="n">
        <v>0</v>
      </c>
      <c r="I153" t="n">
        <v>0</v>
      </c>
      <c r="J153" t="n">
        <v>0</v>
      </c>
      <c r="K153" t="n">
        <v>0</v>
      </c>
      <c r="L153" t="n">
        <v>0</v>
      </c>
      <c r="M153" t="n">
        <v>0</v>
      </c>
      <c r="N153" t="n">
        <v>0</v>
      </c>
      <c r="O153" t="n">
        <v>0</v>
      </c>
      <c r="P153" t="n">
        <v>0</v>
      </c>
      <c r="Q153" t="n">
        <v>0</v>
      </c>
      <c r="R153" s="2" t="inlineStr"/>
    </row>
    <row r="154" ht="15" customHeight="1">
      <c r="A154" t="inlineStr">
        <is>
          <t>A 74255-2021</t>
        </is>
      </c>
      <c r="B154" s="1" t="n">
        <v>44558</v>
      </c>
      <c r="C154" s="1" t="n">
        <v>45471</v>
      </c>
      <c r="D154" t="inlineStr">
        <is>
          <t>GÄVLEBORGS LÄN</t>
        </is>
      </c>
      <c r="E154" t="inlineStr">
        <is>
          <t>HOFORS</t>
        </is>
      </c>
      <c r="G154" t="n">
        <v>3.4</v>
      </c>
      <c r="H154" t="n">
        <v>0</v>
      </c>
      <c r="I154" t="n">
        <v>0</v>
      </c>
      <c r="J154" t="n">
        <v>0</v>
      </c>
      <c r="K154" t="n">
        <v>0</v>
      </c>
      <c r="L154" t="n">
        <v>0</v>
      </c>
      <c r="M154" t="n">
        <v>0</v>
      </c>
      <c r="N154" t="n">
        <v>0</v>
      </c>
      <c r="O154" t="n">
        <v>0</v>
      </c>
      <c r="P154" t="n">
        <v>0</v>
      </c>
      <c r="Q154" t="n">
        <v>0</v>
      </c>
      <c r="R154" s="2" t="inlineStr"/>
    </row>
    <row r="155" ht="15" customHeight="1">
      <c r="A155" t="inlineStr">
        <is>
          <t>A 74254-2021</t>
        </is>
      </c>
      <c r="B155" s="1" t="n">
        <v>44558</v>
      </c>
      <c r="C155" s="1" t="n">
        <v>45471</v>
      </c>
      <c r="D155" t="inlineStr">
        <is>
          <t>GÄVLEBORGS LÄN</t>
        </is>
      </c>
      <c r="E155" t="inlineStr">
        <is>
          <t>HOFORS</t>
        </is>
      </c>
      <c r="G155" t="n">
        <v>8.1</v>
      </c>
      <c r="H155" t="n">
        <v>0</v>
      </c>
      <c r="I155" t="n">
        <v>0</v>
      </c>
      <c r="J155" t="n">
        <v>0</v>
      </c>
      <c r="K155" t="n">
        <v>0</v>
      </c>
      <c r="L155" t="n">
        <v>0</v>
      </c>
      <c r="M155" t="n">
        <v>0</v>
      </c>
      <c r="N155" t="n">
        <v>0</v>
      </c>
      <c r="O155" t="n">
        <v>0</v>
      </c>
      <c r="P155" t="n">
        <v>0</v>
      </c>
      <c r="Q155" t="n">
        <v>0</v>
      </c>
      <c r="R155" s="2" t="inlineStr"/>
    </row>
    <row r="156" ht="15" customHeight="1">
      <c r="A156" t="inlineStr">
        <is>
          <t>A 74349-2021</t>
        </is>
      </c>
      <c r="B156" s="1" t="n">
        <v>44559</v>
      </c>
      <c r="C156" s="1" t="n">
        <v>45471</v>
      </c>
      <c r="D156" t="inlineStr">
        <is>
          <t>GÄVLEBORGS LÄN</t>
        </is>
      </c>
      <c r="E156" t="inlineStr">
        <is>
          <t>HOFORS</t>
        </is>
      </c>
      <c r="G156" t="n">
        <v>1.3</v>
      </c>
      <c r="H156" t="n">
        <v>0</v>
      </c>
      <c r="I156" t="n">
        <v>0</v>
      </c>
      <c r="J156" t="n">
        <v>0</v>
      </c>
      <c r="K156" t="n">
        <v>0</v>
      </c>
      <c r="L156" t="n">
        <v>0</v>
      </c>
      <c r="M156" t="n">
        <v>0</v>
      </c>
      <c r="N156" t="n">
        <v>0</v>
      </c>
      <c r="O156" t="n">
        <v>0</v>
      </c>
      <c r="P156" t="n">
        <v>0</v>
      </c>
      <c r="Q156" t="n">
        <v>0</v>
      </c>
      <c r="R156" s="2" t="inlineStr"/>
    </row>
    <row r="157" ht="15" customHeight="1">
      <c r="A157" t="inlineStr">
        <is>
          <t>A 3052-2022</t>
        </is>
      </c>
      <c r="B157" s="1" t="n">
        <v>44582</v>
      </c>
      <c r="C157" s="1" t="n">
        <v>45471</v>
      </c>
      <c r="D157" t="inlineStr">
        <is>
          <t>GÄVLEBORGS LÄN</t>
        </is>
      </c>
      <c r="E157" t="inlineStr">
        <is>
          <t>HOFORS</t>
        </is>
      </c>
      <c r="G157" t="n">
        <v>0.7</v>
      </c>
      <c r="H157" t="n">
        <v>0</v>
      </c>
      <c r="I157" t="n">
        <v>0</v>
      </c>
      <c r="J157" t="n">
        <v>0</v>
      </c>
      <c r="K157" t="n">
        <v>0</v>
      </c>
      <c r="L157" t="n">
        <v>0</v>
      </c>
      <c r="M157" t="n">
        <v>0</v>
      </c>
      <c r="N157" t="n">
        <v>0</v>
      </c>
      <c r="O157" t="n">
        <v>0</v>
      </c>
      <c r="P157" t="n">
        <v>0</v>
      </c>
      <c r="Q157" t="n">
        <v>0</v>
      </c>
      <c r="R157" s="2" t="inlineStr"/>
    </row>
    <row r="158" ht="15" customHeight="1">
      <c r="A158" t="inlineStr">
        <is>
          <t>A 6560-2022</t>
        </is>
      </c>
      <c r="B158" s="1" t="n">
        <v>44601</v>
      </c>
      <c r="C158" s="1" t="n">
        <v>45471</v>
      </c>
      <c r="D158" t="inlineStr">
        <is>
          <t>GÄVLEBORGS LÄN</t>
        </is>
      </c>
      <c r="E158" t="inlineStr">
        <is>
          <t>HOFORS</t>
        </is>
      </c>
      <c r="G158" t="n">
        <v>12.2</v>
      </c>
      <c r="H158" t="n">
        <v>0</v>
      </c>
      <c r="I158" t="n">
        <v>0</v>
      </c>
      <c r="J158" t="n">
        <v>0</v>
      </c>
      <c r="K158" t="n">
        <v>0</v>
      </c>
      <c r="L158" t="n">
        <v>0</v>
      </c>
      <c r="M158" t="n">
        <v>0</v>
      </c>
      <c r="N158" t="n">
        <v>0</v>
      </c>
      <c r="O158" t="n">
        <v>0</v>
      </c>
      <c r="P158" t="n">
        <v>0</v>
      </c>
      <c r="Q158" t="n">
        <v>0</v>
      </c>
      <c r="R158" s="2" t="inlineStr"/>
    </row>
    <row r="159" ht="15" customHeight="1">
      <c r="A159" t="inlineStr">
        <is>
          <t>A 10184-2022</t>
        </is>
      </c>
      <c r="B159" s="1" t="n">
        <v>44622</v>
      </c>
      <c r="C159" s="1" t="n">
        <v>45471</v>
      </c>
      <c r="D159" t="inlineStr">
        <is>
          <t>GÄVLEBORGS LÄN</t>
        </is>
      </c>
      <c r="E159" t="inlineStr">
        <is>
          <t>HOFORS</t>
        </is>
      </c>
      <c r="G159" t="n">
        <v>3</v>
      </c>
      <c r="H159" t="n">
        <v>0</v>
      </c>
      <c r="I159" t="n">
        <v>0</v>
      </c>
      <c r="J159" t="n">
        <v>0</v>
      </c>
      <c r="K159" t="n">
        <v>0</v>
      </c>
      <c r="L159" t="n">
        <v>0</v>
      </c>
      <c r="M159" t="n">
        <v>0</v>
      </c>
      <c r="N159" t="n">
        <v>0</v>
      </c>
      <c r="O159" t="n">
        <v>0</v>
      </c>
      <c r="P159" t="n">
        <v>0</v>
      </c>
      <c r="Q159" t="n">
        <v>0</v>
      </c>
      <c r="R159" s="2" t="inlineStr"/>
    </row>
    <row r="160" ht="15" customHeight="1">
      <c r="A160" t="inlineStr">
        <is>
          <t>A 10587-2022</t>
        </is>
      </c>
      <c r="B160" s="1" t="n">
        <v>44624</v>
      </c>
      <c r="C160" s="1" t="n">
        <v>45471</v>
      </c>
      <c r="D160" t="inlineStr">
        <is>
          <t>GÄVLEBORGS LÄN</t>
        </is>
      </c>
      <c r="E160" t="inlineStr">
        <is>
          <t>HOFORS</t>
        </is>
      </c>
      <c r="G160" t="n">
        <v>5</v>
      </c>
      <c r="H160" t="n">
        <v>0</v>
      </c>
      <c r="I160" t="n">
        <v>0</v>
      </c>
      <c r="J160" t="n">
        <v>0</v>
      </c>
      <c r="K160" t="n">
        <v>0</v>
      </c>
      <c r="L160" t="n">
        <v>0</v>
      </c>
      <c r="M160" t="n">
        <v>0</v>
      </c>
      <c r="N160" t="n">
        <v>0</v>
      </c>
      <c r="O160" t="n">
        <v>0</v>
      </c>
      <c r="P160" t="n">
        <v>0</v>
      </c>
      <c r="Q160" t="n">
        <v>0</v>
      </c>
      <c r="R160" s="2" t="inlineStr"/>
    </row>
    <row r="161" ht="15" customHeight="1">
      <c r="A161" t="inlineStr">
        <is>
          <t>A 10602-2022</t>
        </is>
      </c>
      <c r="B161" s="1" t="n">
        <v>44624</v>
      </c>
      <c r="C161" s="1" t="n">
        <v>45471</v>
      </c>
      <c r="D161" t="inlineStr">
        <is>
          <t>GÄVLEBORGS LÄN</t>
        </is>
      </c>
      <c r="E161" t="inlineStr">
        <is>
          <t>HOFORS</t>
        </is>
      </c>
      <c r="G161" t="n">
        <v>7</v>
      </c>
      <c r="H161" t="n">
        <v>0</v>
      </c>
      <c r="I161" t="n">
        <v>0</v>
      </c>
      <c r="J161" t="n">
        <v>0</v>
      </c>
      <c r="K161" t="n">
        <v>0</v>
      </c>
      <c r="L161" t="n">
        <v>0</v>
      </c>
      <c r="M161" t="n">
        <v>0</v>
      </c>
      <c r="N161" t="n">
        <v>0</v>
      </c>
      <c r="O161" t="n">
        <v>0</v>
      </c>
      <c r="P161" t="n">
        <v>0</v>
      </c>
      <c r="Q161" t="n">
        <v>0</v>
      </c>
      <c r="R161" s="2" t="inlineStr"/>
    </row>
    <row r="162" ht="15" customHeight="1">
      <c r="A162" t="inlineStr">
        <is>
          <t>A 13807-2022</t>
        </is>
      </c>
      <c r="B162" s="1" t="n">
        <v>44649</v>
      </c>
      <c r="C162" s="1" t="n">
        <v>45471</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16371-2022</t>
        </is>
      </c>
      <c r="B163" s="1" t="n">
        <v>44671</v>
      </c>
      <c r="C163" s="1" t="n">
        <v>45471</v>
      </c>
      <c r="D163" t="inlineStr">
        <is>
          <t>GÄVLEBORGS LÄN</t>
        </is>
      </c>
      <c r="E163" t="inlineStr">
        <is>
          <t>HOFORS</t>
        </is>
      </c>
      <c r="G163" t="n">
        <v>0.8</v>
      </c>
      <c r="H163" t="n">
        <v>0</v>
      </c>
      <c r="I163" t="n">
        <v>0</v>
      </c>
      <c r="J163" t="n">
        <v>0</v>
      </c>
      <c r="K163" t="n">
        <v>0</v>
      </c>
      <c r="L163" t="n">
        <v>0</v>
      </c>
      <c r="M163" t="n">
        <v>0</v>
      </c>
      <c r="N163" t="n">
        <v>0</v>
      </c>
      <c r="O163" t="n">
        <v>0</v>
      </c>
      <c r="P163" t="n">
        <v>0</v>
      </c>
      <c r="Q163" t="n">
        <v>0</v>
      </c>
      <c r="R163" s="2" t="inlineStr"/>
    </row>
    <row r="164" ht="15" customHeight="1">
      <c r="A164" t="inlineStr">
        <is>
          <t>A 17762-2022</t>
        </is>
      </c>
      <c r="B164" s="1" t="n">
        <v>44680</v>
      </c>
      <c r="C164" s="1" t="n">
        <v>45471</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19135-2022</t>
        </is>
      </c>
      <c r="B165" s="1" t="n">
        <v>44691</v>
      </c>
      <c r="C165" s="1" t="n">
        <v>45471</v>
      </c>
      <c r="D165" t="inlineStr">
        <is>
          <t>GÄVLEBORGS LÄN</t>
        </is>
      </c>
      <c r="E165" t="inlineStr">
        <is>
          <t>HOFORS</t>
        </is>
      </c>
      <c r="G165" t="n">
        <v>1.5</v>
      </c>
      <c r="H165" t="n">
        <v>0</v>
      </c>
      <c r="I165" t="n">
        <v>0</v>
      </c>
      <c r="J165" t="n">
        <v>0</v>
      </c>
      <c r="K165" t="n">
        <v>0</v>
      </c>
      <c r="L165" t="n">
        <v>0</v>
      </c>
      <c r="M165" t="n">
        <v>0</v>
      </c>
      <c r="N165" t="n">
        <v>0</v>
      </c>
      <c r="O165" t="n">
        <v>0</v>
      </c>
      <c r="P165" t="n">
        <v>0</v>
      </c>
      <c r="Q165" t="n">
        <v>0</v>
      </c>
      <c r="R165" s="2" t="inlineStr"/>
    </row>
    <row r="166" ht="15" customHeight="1">
      <c r="A166" t="inlineStr">
        <is>
          <t>A 19292-2022</t>
        </is>
      </c>
      <c r="B166" s="1" t="n">
        <v>44692</v>
      </c>
      <c r="C166" s="1" t="n">
        <v>45471</v>
      </c>
      <c r="D166" t="inlineStr">
        <is>
          <t>GÄVLEBORGS LÄN</t>
        </is>
      </c>
      <c r="E166" t="inlineStr">
        <is>
          <t>HOFORS</t>
        </is>
      </c>
      <c r="G166" t="n">
        <v>0.9</v>
      </c>
      <c r="H166" t="n">
        <v>0</v>
      </c>
      <c r="I166" t="n">
        <v>0</v>
      </c>
      <c r="J166" t="n">
        <v>0</v>
      </c>
      <c r="K166" t="n">
        <v>0</v>
      </c>
      <c r="L166" t="n">
        <v>0</v>
      </c>
      <c r="M166" t="n">
        <v>0</v>
      </c>
      <c r="N166" t="n">
        <v>0</v>
      </c>
      <c r="O166" t="n">
        <v>0</v>
      </c>
      <c r="P166" t="n">
        <v>0</v>
      </c>
      <c r="Q166" t="n">
        <v>0</v>
      </c>
      <c r="R166" s="2" t="inlineStr"/>
    </row>
    <row r="167" ht="15" customHeight="1">
      <c r="A167" t="inlineStr">
        <is>
          <t>A 28870-2022</t>
        </is>
      </c>
      <c r="B167" s="1" t="n">
        <v>44749</v>
      </c>
      <c r="C167" s="1" t="n">
        <v>45471</v>
      </c>
      <c r="D167" t="inlineStr">
        <is>
          <t>GÄVLEBORGS LÄN</t>
        </is>
      </c>
      <c r="E167" t="inlineStr">
        <is>
          <t>HOFORS</t>
        </is>
      </c>
      <c r="F167" t="inlineStr">
        <is>
          <t>Sveaskog</t>
        </is>
      </c>
      <c r="G167" t="n">
        <v>5.8</v>
      </c>
      <c r="H167" t="n">
        <v>0</v>
      </c>
      <c r="I167" t="n">
        <v>0</v>
      </c>
      <c r="J167" t="n">
        <v>0</v>
      </c>
      <c r="K167" t="n">
        <v>0</v>
      </c>
      <c r="L167" t="n">
        <v>0</v>
      </c>
      <c r="M167" t="n">
        <v>0</v>
      </c>
      <c r="N167" t="n">
        <v>0</v>
      </c>
      <c r="O167" t="n">
        <v>0</v>
      </c>
      <c r="P167" t="n">
        <v>0</v>
      </c>
      <c r="Q167" t="n">
        <v>0</v>
      </c>
      <c r="R167" s="2" t="inlineStr"/>
    </row>
    <row r="168" ht="15" customHeight="1">
      <c r="A168" t="inlineStr">
        <is>
          <t>A 31205-2022</t>
        </is>
      </c>
      <c r="B168" s="1" t="n">
        <v>44770</v>
      </c>
      <c r="C168" s="1" t="n">
        <v>45471</v>
      </c>
      <c r="D168" t="inlineStr">
        <is>
          <t>GÄVLEBORGS LÄN</t>
        </is>
      </c>
      <c r="E168" t="inlineStr">
        <is>
          <t>HOFORS</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32330-2022</t>
        </is>
      </c>
      <c r="B169" s="1" t="n">
        <v>44781</v>
      </c>
      <c r="C169" s="1" t="n">
        <v>45471</v>
      </c>
      <c r="D169" t="inlineStr">
        <is>
          <t>GÄVLEBORGS LÄN</t>
        </is>
      </c>
      <c r="E169" t="inlineStr">
        <is>
          <t>HOFORS</t>
        </is>
      </c>
      <c r="F169" t="inlineStr">
        <is>
          <t>Sveaskog</t>
        </is>
      </c>
      <c r="G169" t="n">
        <v>6.9</v>
      </c>
      <c r="H169" t="n">
        <v>0</v>
      </c>
      <c r="I169" t="n">
        <v>0</v>
      </c>
      <c r="J169" t="n">
        <v>0</v>
      </c>
      <c r="K169" t="n">
        <v>0</v>
      </c>
      <c r="L169" t="n">
        <v>0</v>
      </c>
      <c r="M169" t="n">
        <v>0</v>
      </c>
      <c r="N169" t="n">
        <v>0</v>
      </c>
      <c r="O169" t="n">
        <v>0</v>
      </c>
      <c r="P169" t="n">
        <v>0</v>
      </c>
      <c r="Q169" t="n">
        <v>0</v>
      </c>
      <c r="R169" s="2" t="inlineStr"/>
    </row>
    <row r="170" ht="15" customHeight="1">
      <c r="A170" t="inlineStr">
        <is>
          <t>A 32327-2022</t>
        </is>
      </c>
      <c r="B170" s="1" t="n">
        <v>44781</v>
      </c>
      <c r="C170" s="1" t="n">
        <v>45471</v>
      </c>
      <c r="D170" t="inlineStr">
        <is>
          <t>GÄVLEBORGS LÄN</t>
        </is>
      </c>
      <c r="E170" t="inlineStr">
        <is>
          <t>HOFORS</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33672-2022</t>
        </is>
      </c>
      <c r="B171" s="1" t="n">
        <v>44789</v>
      </c>
      <c r="C171" s="1" t="n">
        <v>45471</v>
      </c>
      <c r="D171" t="inlineStr">
        <is>
          <t>GÄVLEBORGS LÄN</t>
        </is>
      </c>
      <c r="E171" t="inlineStr">
        <is>
          <t>HOFORS</t>
        </is>
      </c>
      <c r="F171" t="inlineStr">
        <is>
          <t>Sveaskog</t>
        </is>
      </c>
      <c r="G171" t="n">
        <v>14.4</v>
      </c>
      <c r="H171" t="n">
        <v>0</v>
      </c>
      <c r="I171" t="n">
        <v>0</v>
      </c>
      <c r="J171" t="n">
        <v>0</v>
      </c>
      <c r="K171" t="n">
        <v>0</v>
      </c>
      <c r="L171" t="n">
        <v>0</v>
      </c>
      <c r="M171" t="n">
        <v>0</v>
      </c>
      <c r="N171" t="n">
        <v>0</v>
      </c>
      <c r="O171" t="n">
        <v>0</v>
      </c>
      <c r="P171" t="n">
        <v>0</v>
      </c>
      <c r="Q171" t="n">
        <v>0</v>
      </c>
      <c r="R171" s="2" t="inlineStr"/>
    </row>
    <row r="172" ht="15" customHeight="1">
      <c r="A172" t="inlineStr">
        <is>
          <t>A 36882-2022</t>
        </is>
      </c>
      <c r="B172" s="1" t="n">
        <v>44805</v>
      </c>
      <c r="C172" s="1" t="n">
        <v>45471</v>
      </c>
      <c r="D172" t="inlineStr">
        <is>
          <t>GÄVLEBORGS LÄN</t>
        </is>
      </c>
      <c r="E172" t="inlineStr">
        <is>
          <t>HOFORS</t>
        </is>
      </c>
      <c r="F172" t="inlineStr">
        <is>
          <t>Sveaskog</t>
        </is>
      </c>
      <c r="G172" t="n">
        <v>7.3</v>
      </c>
      <c r="H172" t="n">
        <v>0</v>
      </c>
      <c r="I172" t="n">
        <v>0</v>
      </c>
      <c r="J172" t="n">
        <v>0</v>
      </c>
      <c r="K172" t="n">
        <v>0</v>
      </c>
      <c r="L172" t="n">
        <v>0</v>
      </c>
      <c r="M172" t="n">
        <v>0</v>
      </c>
      <c r="N172" t="n">
        <v>0</v>
      </c>
      <c r="O172" t="n">
        <v>0</v>
      </c>
      <c r="P172" t="n">
        <v>0</v>
      </c>
      <c r="Q172" t="n">
        <v>0</v>
      </c>
      <c r="R172" s="2" t="inlineStr"/>
    </row>
    <row r="173" ht="15" customHeight="1">
      <c r="A173" t="inlineStr">
        <is>
          <t>A 37680-2022</t>
        </is>
      </c>
      <c r="B173" s="1" t="n">
        <v>44810</v>
      </c>
      <c r="C173" s="1" t="n">
        <v>45471</v>
      </c>
      <c r="D173" t="inlineStr">
        <is>
          <t>GÄVLEBORGS LÄN</t>
        </is>
      </c>
      <c r="E173" t="inlineStr">
        <is>
          <t>HOFORS</t>
        </is>
      </c>
      <c r="G173" t="n">
        <v>6.6</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v>
      </c>
      <c r="C174" s="1" t="n">
        <v>45471</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37767-2022</t>
        </is>
      </c>
      <c r="B175" s="1" t="n">
        <v>44810</v>
      </c>
      <c r="C175" s="1" t="n">
        <v>45471</v>
      </c>
      <c r="D175" t="inlineStr">
        <is>
          <t>GÄVLEBORGS LÄN</t>
        </is>
      </c>
      <c r="E175" t="inlineStr">
        <is>
          <t>HOFORS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37744-2022</t>
        </is>
      </c>
      <c r="B176" s="1" t="n">
        <v>44810</v>
      </c>
      <c r="C176" s="1" t="n">
        <v>45471</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38251-2022</t>
        </is>
      </c>
      <c r="B177" s="1" t="n">
        <v>44812</v>
      </c>
      <c r="C177" s="1" t="n">
        <v>45471</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38815-2022</t>
        </is>
      </c>
      <c r="B178" s="1" t="n">
        <v>44816</v>
      </c>
      <c r="C178" s="1" t="n">
        <v>45471</v>
      </c>
      <c r="D178" t="inlineStr">
        <is>
          <t>GÄVLEBORGS LÄN</t>
        </is>
      </c>
      <c r="E178" t="inlineStr">
        <is>
          <t>HOFORS</t>
        </is>
      </c>
      <c r="G178" t="n">
        <v>5.5</v>
      </c>
      <c r="H178" t="n">
        <v>0</v>
      </c>
      <c r="I178" t="n">
        <v>0</v>
      </c>
      <c r="J178" t="n">
        <v>0</v>
      </c>
      <c r="K178" t="n">
        <v>0</v>
      </c>
      <c r="L178" t="n">
        <v>0</v>
      </c>
      <c r="M178" t="n">
        <v>0</v>
      </c>
      <c r="N178" t="n">
        <v>0</v>
      </c>
      <c r="O178" t="n">
        <v>0</v>
      </c>
      <c r="P178" t="n">
        <v>0</v>
      </c>
      <c r="Q178" t="n">
        <v>0</v>
      </c>
      <c r="R178" s="2" t="inlineStr"/>
    </row>
    <row r="179" ht="15" customHeight="1">
      <c r="A179" t="inlineStr">
        <is>
          <t>A 40515-2022</t>
        </is>
      </c>
      <c r="B179" s="1" t="n">
        <v>44823</v>
      </c>
      <c r="C179" s="1" t="n">
        <v>45471</v>
      </c>
      <c r="D179" t="inlineStr">
        <is>
          <t>GÄVLEBORGS LÄN</t>
        </is>
      </c>
      <c r="E179" t="inlineStr">
        <is>
          <t>HOFORS</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40517-2022</t>
        </is>
      </c>
      <c r="B180" s="1" t="n">
        <v>44823</v>
      </c>
      <c r="C180" s="1" t="n">
        <v>45471</v>
      </c>
      <c r="D180" t="inlineStr">
        <is>
          <t>GÄVLEBORGS LÄN</t>
        </is>
      </c>
      <c r="E180" t="inlineStr">
        <is>
          <t>HOFORS</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43610-2022</t>
        </is>
      </c>
      <c r="B181" s="1" t="n">
        <v>44837</v>
      </c>
      <c r="C181" s="1" t="n">
        <v>45471</v>
      </c>
      <c r="D181" t="inlineStr">
        <is>
          <t>GÄVLEBORGS LÄN</t>
        </is>
      </c>
      <c r="E181" t="inlineStr">
        <is>
          <t>HOFORS</t>
        </is>
      </c>
      <c r="F181" t="inlineStr">
        <is>
          <t>Sveaskog</t>
        </is>
      </c>
      <c r="G181" t="n">
        <v>17.6</v>
      </c>
      <c r="H181" t="n">
        <v>0</v>
      </c>
      <c r="I181" t="n">
        <v>0</v>
      </c>
      <c r="J181" t="n">
        <v>0</v>
      </c>
      <c r="K181" t="n">
        <v>0</v>
      </c>
      <c r="L181" t="n">
        <v>0</v>
      </c>
      <c r="M181" t="n">
        <v>0</v>
      </c>
      <c r="N181" t="n">
        <v>0</v>
      </c>
      <c r="O181" t="n">
        <v>0</v>
      </c>
      <c r="P181" t="n">
        <v>0</v>
      </c>
      <c r="Q181" t="n">
        <v>0</v>
      </c>
      <c r="R181" s="2" t="inlineStr"/>
    </row>
    <row r="182" ht="15" customHeight="1">
      <c r="A182" t="inlineStr">
        <is>
          <t>A 43631-2022</t>
        </is>
      </c>
      <c r="B182" s="1" t="n">
        <v>44837</v>
      </c>
      <c r="C182" s="1" t="n">
        <v>45471</v>
      </c>
      <c r="D182" t="inlineStr">
        <is>
          <t>GÄVLEBORGS LÄN</t>
        </is>
      </c>
      <c r="E182" t="inlineStr">
        <is>
          <t>HOFORS</t>
        </is>
      </c>
      <c r="G182" t="n">
        <v>1.6</v>
      </c>
      <c r="H182" t="n">
        <v>0</v>
      </c>
      <c r="I182" t="n">
        <v>0</v>
      </c>
      <c r="J182" t="n">
        <v>0</v>
      </c>
      <c r="K182" t="n">
        <v>0</v>
      </c>
      <c r="L182" t="n">
        <v>0</v>
      </c>
      <c r="M182" t="n">
        <v>0</v>
      </c>
      <c r="N182" t="n">
        <v>0</v>
      </c>
      <c r="O182" t="n">
        <v>0</v>
      </c>
      <c r="P182" t="n">
        <v>0</v>
      </c>
      <c r="Q182" t="n">
        <v>0</v>
      </c>
      <c r="R182" s="2" t="inlineStr"/>
    </row>
    <row r="183" ht="15" customHeight="1">
      <c r="A183" t="inlineStr">
        <is>
          <t>A 43603-2022</t>
        </is>
      </c>
      <c r="B183" s="1" t="n">
        <v>44837</v>
      </c>
      <c r="C183" s="1" t="n">
        <v>45471</v>
      </c>
      <c r="D183" t="inlineStr">
        <is>
          <t>GÄVLEBORGS LÄN</t>
        </is>
      </c>
      <c r="E183" t="inlineStr">
        <is>
          <t>HOFORS</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51205-2022</t>
        </is>
      </c>
      <c r="B184" s="1" t="n">
        <v>44868</v>
      </c>
      <c r="C184" s="1" t="n">
        <v>45471</v>
      </c>
      <c r="D184" t="inlineStr">
        <is>
          <t>GÄVLEBORGS LÄN</t>
        </is>
      </c>
      <c r="E184" t="inlineStr">
        <is>
          <t>HOFORS</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51202-2022</t>
        </is>
      </c>
      <c r="B185" s="1" t="n">
        <v>44868</v>
      </c>
      <c r="C185" s="1" t="n">
        <v>45471</v>
      </c>
      <c r="D185" t="inlineStr">
        <is>
          <t>GÄVLEBORGS LÄN</t>
        </is>
      </c>
      <c r="E185" t="inlineStr">
        <is>
          <t>HOFORS</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v>
      </c>
      <c r="C186" s="1" t="n">
        <v>45471</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51276-2022</t>
        </is>
      </c>
      <c r="B187" s="1" t="n">
        <v>44868</v>
      </c>
      <c r="C187" s="1" t="n">
        <v>45471</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52320-2022</t>
        </is>
      </c>
      <c r="B188" s="1" t="n">
        <v>44873</v>
      </c>
      <c r="C188" s="1" t="n">
        <v>45471</v>
      </c>
      <c r="D188" t="inlineStr">
        <is>
          <t>GÄVLEBORGS LÄN</t>
        </is>
      </c>
      <c r="E188" t="inlineStr">
        <is>
          <t>HOFORS</t>
        </is>
      </c>
      <c r="G188" t="n">
        <v>6.1</v>
      </c>
      <c r="H188" t="n">
        <v>0</v>
      </c>
      <c r="I188" t="n">
        <v>0</v>
      </c>
      <c r="J188" t="n">
        <v>0</v>
      </c>
      <c r="K188" t="n">
        <v>0</v>
      </c>
      <c r="L188" t="n">
        <v>0</v>
      </c>
      <c r="M188" t="n">
        <v>0</v>
      </c>
      <c r="N188" t="n">
        <v>0</v>
      </c>
      <c r="O188" t="n">
        <v>0</v>
      </c>
      <c r="P188" t="n">
        <v>0</v>
      </c>
      <c r="Q188" t="n">
        <v>0</v>
      </c>
      <c r="R188" s="2" t="inlineStr"/>
    </row>
    <row r="189" ht="15" customHeight="1">
      <c r="A189" t="inlineStr">
        <is>
          <t>A 54192-2022</t>
        </is>
      </c>
      <c r="B189" s="1" t="n">
        <v>44881</v>
      </c>
      <c r="C189" s="1" t="n">
        <v>45471</v>
      </c>
      <c r="D189" t="inlineStr">
        <is>
          <t>GÄVLEBORGS LÄN</t>
        </is>
      </c>
      <c r="E189" t="inlineStr">
        <is>
          <t>HOFORS</t>
        </is>
      </c>
      <c r="F189" t="inlineStr">
        <is>
          <t>Sveaskog</t>
        </is>
      </c>
      <c r="G189" t="n">
        <v>2.4</v>
      </c>
      <c r="H189" t="n">
        <v>0</v>
      </c>
      <c r="I189" t="n">
        <v>0</v>
      </c>
      <c r="J189" t="n">
        <v>0</v>
      </c>
      <c r="K189" t="n">
        <v>0</v>
      </c>
      <c r="L189" t="n">
        <v>0</v>
      </c>
      <c r="M189" t="n">
        <v>0</v>
      </c>
      <c r="N189" t="n">
        <v>0</v>
      </c>
      <c r="O189" t="n">
        <v>0</v>
      </c>
      <c r="P189" t="n">
        <v>0</v>
      </c>
      <c r="Q189" t="n">
        <v>0</v>
      </c>
      <c r="R189" s="2" t="inlineStr"/>
    </row>
    <row r="190" ht="15" customHeight="1">
      <c r="A190" t="inlineStr">
        <is>
          <t>A 54191-2022</t>
        </is>
      </c>
      <c r="B190" s="1" t="n">
        <v>44881</v>
      </c>
      <c r="C190" s="1" t="n">
        <v>45471</v>
      </c>
      <c r="D190" t="inlineStr">
        <is>
          <t>GÄVLEBORGS LÄN</t>
        </is>
      </c>
      <c r="E190" t="inlineStr">
        <is>
          <t>HOFORS</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54616-2022</t>
        </is>
      </c>
      <c r="B191" s="1" t="n">
        <v>44883</v>
      </c>
      <c r="C191" s="1" t="n">
        <v>45471</v>
      </c>
      <c r="D191" t="inlineStr">
        <is>
          <t>GÄVLEBORGS LÄN</t>
        </is>
      </c>
      <c r="E191" t="inlineStr">
        <is>
          <t>HOFORS</t>
        </is>
      </c>
      <c r="F191" t="inlineStr">
        <is>
          <t>Kyrkan</t>
        </is>
      </c>
      <c r="G191" t="n">
        <v>4.8</v>
      </c>
      <c r="H191" t="n">
        <v>0</v>
      </c>
      <c r="I191" t="n">
        <v>0</v>
      </c>
      <c r="J191" t="n">
        <v>0</v>
      </c>
      <c r="K191" t="n">
        <v>0</v>
      </c>
      <c r="L191" t="n">
        <v>0</v>
      </c>
      <c r="M191" t="n">
        <v>0</v>
      </c>
      <c r="N191" t="n">
        <v>0</v>
      </c>
      <c r="O191" t="n">
        <v>0</v>
      </c>
      <c r="P191" t="n">
        <v>0</v>
      </c>
      <c r="Q191" t="n">
        <v>0</v>
      </c>
      <c r="R191" s="2" t="inlineStr"/>
    </row>
    <row r="192" ht="15" customHeight="1">
      <c r="A192" t="inlineStr">
        <is>
          <t>A 57971-2022</t>
        </is>
      </c>
      <c r="B192" s="1" t="n">
        <v>44900</v>
      </c>
      <c r="C192" s="1" t="n">
        <v>45471</v>
      </c>
      <c r="D192" t="inlineStr">
        <is>
          <t>GÄVLEBORGS LÄN</t>
        </is>
      </c>
      <c r="E192" t="inlineStr">
        <is>
          <t>HOFORS</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59567-2022</t>
        </is>
      </c>
      <c r="B193" s="1" t="n">
        <v>44907</v>
      </c>
      <c r="C193" s="1" t="n">
        <v>45471</v>
      </c>
      <c r="D193" t="inlineStr">
        <is>
          <t>GÄVLEBORGS LÄN</t>
        </is>
      </c>
      <c r="E193" t="inlineStr">
        <is>
          <t>HOFORS</t>
        </is>
      </c>
      <c r="G193" t="n">
        <v>1.4</v>
      </c>
      <c r="H193" t="n">
        <v>0</v>
      </c>
      <c r="I193" t="n">
        <v>0</v>
      </c>
      <c r="J193" t="n">
        <v>0</v>
      </c>
      <c r="K193" t="n">
        <v>0</v>
      </c>
      <c r="L193" t="n">
        <v>0</v>
      </c>
      <c r="M193" t="n">
        <v>0</v>
      </c>
      <c r="N193" t="n">
        <v>0</v>
      </c>
      <c r="O193" t="n">
        <v>0</v>
      </c>
      <c r="P193" t="n">
        <v>0</v>
      </c>
      <c r="Q193" t="n">
        <v>0</v>
      </c>
      <c r="R193" s="2" t="inlineStr"/>
    </row>
    <row r="194" ht="15" customHeight="1">
      <c r="A194" t="inlineStr">
        <is>
          <t>A 4451-2023</t>
        </is>
      </c>
      <c r="B194" s="1" t="n">
        <v>44956</v>
      </c>
      <c r="C194" s="1" t="n">
        <v>45471</v>
      </c>
      <c r="D194" t="inlineStr">
        <is>
          <t>GÄVLEBORGS LÄN</t>
        </is>
      </c>
      <c r="E194" t="inlineStr">
        <is>
          <t>HOFORS</t>
        </is>
      </c>
      <c r="G194" t="n">
        <v>5.1</v>
      </c>
      <c r="H194" t="n">
        <v>0</v>
      </c>
      <c r="I194" t="n">
        <v>0</v>
      </c>
      <c r="J194" t="n">
        <v>0</v>
      </c>
      <c r="K194" t="n">
        <v>0</v>
      </c>
      <c r="L194" t="n">
        <v>0</v>
      </c>
      <c r="M194" t="n">
        <v>0</v>
      </c>
      <c r="N194" t="n">
        <v>0</v>
      </c>
      <c r="O194" t="n">
        <v>0</v>
      </c>
      <c r="P194" t="n">
        <v>0</v>
      </c>
      <c r="Q194" t="n">
        <v>0</v>
      </c>
      <c r="R194" s="2" t="inlineStr"/>
    </row>
    <row r="195" ht="15" customHeight="1">
      <c r="A195" t="inlineStr">
        <is>
          <t>A 6929-2023</t>
        </is>
      </c>
      <c r="B195" s="1" t="n">
        <v>44967</v>
      </c>
      <c r="C195" s="1" t="n">
        <v>45471</v>
      </c>
      <c r="D195" t="inlineStr">
        <is>
          <t>GÄVLEBORGS LÄN</t>
        </is>
      </c>
      <c r="E195" t="inlineStr">
        <is>
          <t>HOFORS</t>
        </is>
      </c>
      <c r="G195" t="n">
        <v>0.9</v>
      </c>
      <c r="H195" t="n">
        <v>0</v>
      </c>
      <c r="I195" t="n">
        <v>0</v>
      </c>
      <c r="J195" t="n">
        <v>0</v>
      </c>
      <c r="K195" t="n">
        <v>0</v>
      </c>
      <c r="L195" t="n">
        <v>0</v>
      </c>
      <c r="M195" t="n">
        <v>0</v>
      </c>
      <c r="N195" t="n">
        <v>0</v>
      </c>
      <c r="O195" t="n">
        <v>0</v>
      </c>
      <c r="P195" t="n">
        <v>0</v>
      </c>
      <c r="Q195" t="n">
        <v>0</v>
      </c>
      <c r="R195" s="2" t="inlineStr"/>
    </row>
    <row r="196" ht="15" customHeight="1">
      <c r="A196" t="inlineStr">
        <is>
          <t>A 8510-2023</t>
        </is>
      </c>
      <c r="B196" s="1" t="n">
        <v>44977</v>
      </c>
      <c r="C196" s="1" t="n">
        <v>45471</v>
      </c>
      <c r="D196" t="inlineStr">
        <is>
          <t>GÄVLEBORGS LÄN</t>
        </is>
      </c>
      <c r="E196" t="inlineStr">
        <is>
          <t>HOFORS</t>
        </is>
      </c>
      <c r="G196" t="n">
        <v>0.4</v>
      </c>
      <c r="H196" t="n">
        <v>0</v>
      </c>
      <c r="I196" t="n">
        <v>0</v>
      </c>
      <c r="J196" t="n">
        <v>0</v>
      </c>
      <c r="K196" t="n">
        <v>0</v>
      </c>
      <c r="L196" t="n">
        <v>0</v>
      </c>
      <c r="M196" t="n">
        <v>0</v>
      </c>
      <c r="N196" t="n">
        <v>0</v>
      </c>
      <c r="O196" t="n">
        <v>0</v>
      </c>
      <c r="P196" t="n">
        <v>0</v>
      </c>
      <c r="Q196" t="n">
        <v>0</v>
      </c>
      <c r="R196" s="2" t="inlineStr"/>
    </row>
    <row r="197" ht="15" customHeight="1">
      <c r="A197" t="inlineStr">
        <is>
          <t>A 10161-2023</t>
        </is>
      </c>
      <c r="B197" s="1" t="n">
        <v>44986</v>
      </c>
      <c r="C197" s="1" t="n">
        <v>45471</v>
      </c>
      <c r="D197" t="inlineStr">
        <is>
          <t>GÄVLEBORGS LÄN</t>
        </is>
      </c>
      <c r="E197" t="inlineStr">
        <is>
          <t>HOFORS</t>
        </is>
      </c>
      <c r="F197" t="inlineStr">
        <is>
          <t>Övriga statliga verk och myndigheter</t>
        </is>
      </c>
      <c r="G197" t="n">
        <v>0.6</v>
      </c>
      <c r="H197" t="n">
        <v>0</v>
      </c>
      <c r="I197" t="n">
        <v>0</v>
      </c>
      <c r="J197" t="n">
        <v>0</v>
      </c>
      <c r="K197" t="n">
        <v>0</v>
      </c>
      <c r="L197" t="n">
        <v>0</v>
      </c>
      <c r="M197" t="n">
        <v>0</v>
      </c>
      <c r="N197" t="n">
        <v>0</v>
      </c>
      <c r="O197" t="n">
        <v>0</v>
      </c>
      <c r="P197" t="n">
        <v>0</v>
      </c>
      <c r="Q197" t="n">
        <v>0</v>
      </c>
      <c r="R197" s="2" t="inlineStr"/>
    </row>
    <row r="198" ht="15" customHeight="1">
      <c r="A198" t="inlineStr">
        <is>
          <t>A 11607-2023</t>
        </is>
      </c>
      <c r="B198" s="1" t="n">
        <v>44994</v>
      </c>
      <c r="C198" s="1" t="n">
        <v>45471</v>
      </c>
      <c r="D198" t="inlineStr">
        <is>
          <t>GÄVLEBORGS LÄN</t>
        </is>
      </c>
      <c r="E198" t="inlineStr">
        <is>
          <t>HOFORS</t>
        </is>
      </c>
      <c r="F198" t="inlineStr">
        <is>
          <t>Övriga statliga verk och myndigheter</t>
        </is>
      </c>
      <c r="G198" t="n">
        <v>1.1</v>
      </c>
      <c r="H198" t="n">
        <v>0</v>
      </c>
      <c r="I198" t="n">
        <v>0</v>
      </c>
      <c r="J198" t="n">
        <v>0</v>
      </c>
      <c r="K198" t="n">
        <v>0</v>
      </c>
      <c r="L198" t="n">
        <v>0</v>
      </c>
      <c r="M198" t="n">
        <v>0</v>
      </c>
      <c r="N198" t="n">
        <v>0</v>
      </c>
      <c r="O198" t="n">
        <v>0</v>
      </c>
      <c r="P198" t="n">
        <v>0</v>
      </c>
      <c r="Q198" t="n">
        <v>0</v>
      </c>
      <c r="R198" s="2" t="inlineStr"/>
    </row>
    <row r="199" ht="15" customHeight="1">
      <c r="A199" t="inlineStr">
        <is>
          <t>A 13744-2023</t>
        </is>
      </c>
      <c r="B199" s="1" t="n">
        <v>45007</v>
      </c>
      <c r="C199" s="1" t="n">
        <v>45471</v>
      </c>
      <c r="D199" t="inlineStr">
        <is>
          <t>GÄVLEBORGS LÄN</t>
        </is>
      </c>
      <c r="E199" t="inlineStr">
        <is>
          <t>HOFORS</t>
        </is>
      </c>
      <c r="F199" t="inlineStr">
        <is>
          <t>Övriga statliga verk och myndigheter</t>
        </is>
      </c>
      <c r="G199" t="n">
        <v>1</v>
      </c>
      <c r="H199" t="n">
        <v>0</v>
      </c>
      <c r="I199" t="n">
        <v>0</v>
      </c>
      <c r="J199" t="n">
        <v>0</v>
      </c>
      <c r="K199" t="n">
        <v>0</v>
      </c>
      <c r="L199" t="n">
        <v>0</v>
      </c>
      <c r="M199" t="n">
        <v>0</v>
      </c>
      <c r="N199" t="n">
        <v>0</v>
      </c>
      <c r="O199" t="n">
        <v>0</v>
      </c>
      <c r="P199" t="n">
        <v>0</v>
      </c>
      <c r="Q199" t="n">
        <v>0</v>
      </c>
      <c r="R199" s="2" t="inlineStr"/>
    </row>
    <row r="200" ht="15" customHeight="1">
      <c r="A200" t="inlineStr">
        <is>
          <t>A 13745-2023</t>
        </is>
      </c>
      <c r="B200" s="1" t="n">
        <v>45007</v>
      </c>
      <c r="C200" s="1" t="n">
        <v>45471</v>
      </c>
      <c r="D200" t="inlineStr">
        <is>
          <t>GÄVLEBORGS LÄN</t>
        </is>
      </c>
      <c r="E200" t="inlineStr">
        <is>
          <t>HOFORS</t>
        </is>
      </c>
      <c r="F200" t="inlineStr">
        <is>
          <t>Övriga statliga verk och myndigheter</t>
        </is>
      </c>
      <c r="G200" t="n">
        <v>0.5</v>
      </c>
      <c r="H200" t="n">
        <v>0</v>
      </c>
      <c r="I200" t="n">
        <v>0</v>
      </c>
      <c r="J200" t="n">
        <v>0</v>
      </c>
      <c r="K200" t="n">
        <v>0</v>
      </c>
      <c r="L200" t="n">
        <v>0</v>
      </c>
      <c r="M200" t="n">
        <v>0</v>
      </c>
      <c r="N200" t="n">
        <v>0</v>
      </c>
      <c r="O200" t="n">
        <v>0</v>
      </c>
      <c r="P200" t="n">
        <v>0</v>
      </c>
      <c r="Q200" t="n">
        <v>0</v>
      </c>
      <c r="R200" s="2" t="inlineStr"/>
    </row>
    <row r="201" ht="15" customHeight="1">
      <c r="A201" t="inlineStr">
        <is>
          <t>A 14811-2023</t>
        </is>
      </c>
      <c r="B201" s="1" t="n">
        <v>45014</v>
      </c>
      <c r="C201" s="1" t="n">
        <v>45471</v>
      </c>
      <c r="D201" t="inlineStr">
        <is>
          <t>GÄVLEBORGS LÄN</t>
        </is>
      </c>
      <c r="E201" t="inlineStr">
        <is>
          <t>HOFORS</t>
        </is>
      </c>
      <c r="G201" t="n">
        <v>0.7</v>
      </c>
      <c r="H201" t="n">
        <v>0</v>
      </c>
      <c r="I201" t="n">
        <v>0</v>
      </c>
      <c r="J201" t="n">
        <v>0</v>
      </c>
      <c r="K201" t="n">
        <v>0</v>
      </c>
      <c r="L201" t="n">
        <v>0</v>
      </c>
      <c r="M201" t="n">
        <v>0</v>
      </c>
      <c r="N201" t="n">
        <v>0</v>
      </c>
      <c r="O201" t="n">
        <v>0</v>
      </c>
      <c r="P201" t="n">
        <v>0</v>
      </c>
      <c r="Q201" t="n">
        <v>0</v>
      </c>
      <c r="R201" s="2" t="inlineStr"/>
    </row>
    <row r="202" ht="15" customHeight="1">
      <c r="A202" t="inlineStr">
        <is>
          <t>A 18693-2023</t>
        </is>
      </c>
      <c r="B202" s="1" t="n">
        <v>45043</v>
      </c>
      <c r="C202" s="1" t="n">
        <v>45471</v>
      </c>
      <c r="D202" t="inlineStr">
        <is>
          <t>GÄVLEBORGS LÄN</t>
        </is>
      </c>
      <c r="E202" t="inlineStr">
        <is>
          <t>HOFORS</t>
        </is>
      </c>
      <c r="G202" t="n">
        <v>2.5</v>
      </c>
      <c r="H202" t="n">
        <v>0</v>
      </c>
      <c r="I202" t="n">
        <v>0</v>
      </c>
      <c r="J202" t="n">
        <v>0</v>
      </c>
      <c r="K202" t="n">
        <v>0</v>
      </c>
      <c r="L202" t="n">
        <v>0</v>
      </c>
      <c r="M202" t="n">
        <v>0</v>
      </c>
      <c r="N202" t="n">
        <v>0</v>
      </c>
      <c r="O202" t="n">
        <v>0</v>
      </c>
      <c r="P202" t="n">
        <v>0</v>
      </c>
      <c r="Q202" t="n">
        <v>0</v>
      </c>
      <c r="R202" s="2" t="inlineStr"/>
    </row>
    <row r="203" ht="15" customHeight="1">
      <c r="A203" t="inlineStr">
        <is>
          <t>A 18690-2023</t>
        </is>
      </c>
      <c r="B203" s="1" t="n">
        <v>45043</v>
      </c>
      <c r="C203" s="1" t="n">
        <v>45471</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18930-2023</t>
        </is>
      </c>
      <c r="B204" s="1" t="n">
        <v>45044</v>
      </c>
      <c r="C204" s="1" t="n">
        <v>45471</v>
      </c>
      <c r="D204" t="inlineStr">
        <is>
          <t>GÄVLEBORGS LÄN</t>
        </is>
      </c>
      <c r="E204" t="inlineStr">
        <is>
          <t>HOFORS</t>
        </is>
      </c>
      <c r="G204" t="n">
        <v>5.9</v>
      </c>
      <c r="H204" t="n">
        <v>0</v>
      </c>
      <c r="I204" t="n">
        <v>0</v>
      </c>
      <c r="J204" t="n">
        <v>0</v>
      </c>
      <c r="K204" t="n">
        <v>0</v>
      </c>
      <c r="L204" t="n">
        <v>0</v>
      </c>
      <c r="M204" t="n">
        <v>0</v>
      </c>
      <c r="N204" t="n">
        <v>0</v>
      </c>
      <c r="O204" t="n">
        <v>0</v>
      </c>
      <c r="P204" t="n">
        <v>0</v>
      </c>
      <c r="Q204" t="n">
        <v>0</v>
      </c>
      <c r="R204" s="2" t="inlineStr"/>
    </row>
    <row r="205" ht="15" customHeight="1">
      <c r="A205" t="inlineStr">
        <is>
          <t>A 19476-2023</t>
        </is>
      </c>
      <c r="B205" s="1" t="n">
        <v>45050</v>
      </c>
      <c r="C205" s="1" t="n">
        <v>45471</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19475-2023</t>
        </is>
      </c>
      <c r="B206" s="1" t="n">
        <v>45050</v>
      </c>
      <c r="C206" s="1" t="n">
        <v>45471</v>
      </c>
      <c r="D206" t="inlineStr">
        <is>
          <t>GÄVLEBORGS LÄN</t>
        </is>
      </c>
      <c r="E206" t="inlineStr">
        <is>
          <t>HOFORS</t>
        </is>
      </c>
      <c r="G206" t="n">
        <v>2.1</v>
      </c>
      <c r="H206" t="n">
        <v>0</v>
      </c>
      <c r="I206" t="n">
        <v>0</v>
      </c>
      <c r="J206" t="n">
        <v>0</v>
      </c>
      <c r="K206" t="n">
        <v>0</v>
      </c>
      <c r="L206" t="n">
        <v>0</v>
      </c>
      <c r="M206" t="n">
        <v>0</v>
      </c>
      <c r="N206" t="n">
        <v>0</v>
      </c>
      <c r="O206" t="n">
        <v>0</v>
      </c>
      <c r="P206" t="n">
        <v>0</v>
      </c>
      <c r="Q206" t="n">
        <v>0</v>
      </c>
      <c r="R206" s="2" t="inlineStr"/>
    </row>
    <row r="207" ht="15" customHeight="1">
      <c r="A207" t="inlineStr">
        <is>
          <t>A 19684-2023</t>
        </is>
      </c>
      <c r="B207" s="1" t="n">
        <v>45051</v>
      </c>
      <c r="C207" s="1" t="n">
        <v>45471</v>
      </c>
      <c r="D207" t="inlineStr">
        <is>
          <t>GÄVLEBORGS LÄN</t>
        </is>
      </c>
      <c r="E207" t="inlineStr">
        <is>
          <t>HOFORS</t>
        </is>
      </c>
      <c r="G207" t="n">
        <v>3.3</v>
      </c>
      <c r="H207" t="n">
        <v>0</v>
      </c>
      <c r="I207" t="n">
        <v>0</v>
      </c>
      <c r="J207" t="n">
        <v>0</v>
      </c>
      <c r="K207" t="n">
        <v>0</v>
      </c>
      <c r="L207" t="n">
        <v>0</v>
      </c>
      <c r="M207" t="n">
        <v>0</v>
      </c>
      <c r="N207" t="n">
        <v>0</v>
      </c>
      <c r="O207" t="n">
        <v>0</v>
      </c>
      <c r="P207" t="n">
        <v>0</v>
      </c>
      <c r="Q207" t="n">
        <v>0</v>
      </c>
      <c r="R207" s="2" t="inlineStr"/>
    </row>
    <row r="208" ht="15" customHeight="1">
      <c r="A208" t="inlineStr">
        <is>
          <t>A 19685-2023</t>
        </is>
      </c>
      <c r="B208" s="1" t="n">
        <v>45051</v>
      </c>
      <c r="C208" s="1" t="n">
        <v>45471</v>
      </c>
      <c r="D208" t="inlineStr">
        <is>
          <t>GÄVLEBORGS LÄN</t>
        </is>
      </c>
      <c r="E208" t="inlineStr">
        <is>
          <t>HOFORS</t>
        </is>
      </c>
      <c r="G208" t="n">
        <v>3.4</v>
      </c>
      <c r="H208" t="n">
        <v>0</v>
      </c>
      <c r="I208" t="n">
        <v>0</v>
      </c>
      <c r="J208" t="n">
        <v>0</v>
      </c>
      <c r="K208" t="n">
        <v>0</v>
      </c>
      <c r="L208" t="n">
        <v>0</v>
      </c>
      <c r="M208" t="n">
        <v>0</v>
      </c>
      <c r="N208" t="n">
        <v>0</v>
      </c>
      <c r="O208" t="n">
        <v>0</v>
      </c>
      <c r="P208" t="n">
        <v>0</v>
      </c>
      <c r="Q208" t="n">
        <v>0</v>
      </c>
      <c r="R208" s="2" t="inlineStr"/>
    </row>
    <row r="209" ht="15" customHeight="1">
      <c r="A209" t="inlineStr">
        <is>
          <t>A 19687-2023</t>
        </is>
      </c>
      <c r="B209" s="1" t="n">
        <v>45051</v>
      </c>
      <c r="C209" s="1" t="n">
        <v>45471</v>
      </c>
      <c r="D209" t="inlineStr">
        <is>
          <t>GÄVLEBORGS LÄN</t>
        </is>
      </c>
      <c r="E209" t="inlineStr">
        <is>
          <t>HOFORS</t>
        </is>
      </c>
      <c r="G209" t="n">
        <v>1.7</v>
      </c>
      <c r="H209" t="n">
        <v>0</v>
      </c>
      <c r="I209" t="n">
        <v>0</v>
      </c>
      <c r="J209" t="n">
        <v>0</v>
      </c>
      <c r="K209" t="n">
        <v>0</v>
      </c>
      <c r="L209" t="n">
        <v>0</v>
      </c>
      <c r="M209" t="n">
        <v>0</v>
      </c>
      <c r="N209" t="n">
        <v>0</v>
      </c>
      <c r="O209" t="n">
        <v>0</v>
      </c>
      <c r="P209" t="n">
        <v>0</v>
      </c>
      <c r="Q209" t="n">
        <v>0</v>
      </c>
      <c r="R209" s="2" t="inlineStr"/>
    </row>
    <row r="210" ht="15" customHeight="1">
      <c r="A210" t="inlineStr">
        <is>
          <t>A 22129-2023</t>
        </is>
      </c>
      <c r="B210" s="1" t="n">
        <v>45069</v>
      </c>
      <c r="C210" s="1" t="n">
        <v>45471</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22297-2023</t>
        </is>
      </c>
      <c r="B211" s="1" t="n">
        <v>45070</v>
      </c>
      <c r="C211" s="1" t="n">
        <v>45471</v>
      </c>
      <c r="D211" t="inlineStr">
        <is>
          <t>GÄVLEBORGS LÄN</t>
        </is>
      </c>
      <c r="E211" t="inlineStr">
        <is>
          <t>HOFORS</t>
        </is>
      </c>
      <c r="G211" t="n">
        <v>5.9</v>
      </c>
      <c r="H211" t="n">
        <v>0</v>
      </c>
      <c r="I211" t="n">
        <v>0</v>
      </c>
      <c r="J211" t="n">
        <v>0</v>
      </c>
      <c r="K211" t="n">
        <v>0</v>
      </c>
      <c r="L211" t="n">
        <v>0</v>
      </c>
      <c r="M211" t="n">
        <v>0</v>
      </c>
      <c r="N211" t="n">
        <v>0</v>
      </c>
      <c r="O211" t="n">
        <v>0</v>
      </c>
      <c r="P211" t="n">
        <v>0</v>
      </c>
      <c r="Q211" t="n">
        <v>0</v>
      </c>
      <c r="R211" s="2" t="inlineStr"/>
    </row>
    <row r="212" ht="15" customHeight="1">
      <c r="A212" t="inlineStr">
        <is>
          <t>A 22787-2023</t>
        </is>
      </c>
      <c r="B212" s="1" t="n">
        <v>45072</v>
      </c>
      <c r="C212" s="1" t="n">
        <v>45471</v>
      </c>
      <c r="D212" t="inlineStr">
        <is>
          <t>GÄVLEBORGS LÄN</t>
        </is>
      </c>
      <c r="E212" t="inlineStr">
        <is>
          <t>HOFORS</t>
        </is>
      </c>
      <c r="G212" t="n">
        <v>1</v>
      </c>
      <c r="H212" t="n">
        <v>0</v>
      </c>
      <c r="I212" t="n">
        <v>0</v>
      </c>
      <c r="J212" t="n">
        <v>0</v>
      </c>
      <c r="K212" t="n">
        <v>0</v>
      </c>
      <c r="L212" t="n">
        <v>0</v>
      </c>
      <c r="M212" t="n">
        <v>0</v>
      </c>
      <c r="N212" t="n">
        <v>0</v>
      </c>
      <c r="O212" t="n">
        <v>0</v>
      </c>
      <c r="P212" t="n">
        <v>0</v>
      </c>
      <c r="Q212" t="n">
        <v>0</v>
      </c>
      <c r="R212" s="2" t="inlineStr"/>
    </row>
    <row r="213" ht="15" customHeight="1">
      <c r="A213" t="inlineStr">
        <is>
          <t>A 22904-2023</t>
        </is>
      </c>
      <c r="B213" s="1" t="n">
        <v>45072</v>
      </c>
      <c r="C213" s="1" t="n">
        <v>45471</v>
      </c>
      <c r="D213" t="inlineStr">
        <is>
          <t>GÄVLEBORGS LÄN</t>
        </is>
      </c>
      <c r="E213" t="inlineStr">
        <is>
          <t>HOFORS</t>
        </is>
      </c>
      <c r="G213" t="n">
        <v>1.8</v>
      </c>
      <c r="H213" t="n">
        <v>0</v>
      </c>
      <c r="I213" t="n">
        <v>0</v>
      </c>
      <c r="J213" t="n">
        <v>0</v>
      </c>
      <c r="K213" t="n">
        <v>0</v>
      </c>
      <c r="L213" t="n">
        <v>0</v>
      </c>
      <c r="M213" t="n">
        <v>0</v>
      </c>
      <c r="N213" t="n">
        <v>0</v>
      </c>
      <c r="O213" t="n">
        <v>0</v>
      </c>
      <c r="P213" t="n">
        <v>0</v>
      </c>
      <c r="Q213" t="n">
        <v>0</v>
      </c>
      <c r="R213" s="2" t="inlineStr"/>
    </row>
    <row r="214" ht="15" customHeight="1">
      <c r="A214" t="inlineStr">
        <is>
          <t>A 22783-2023</t>
        </is>
      </c>
      <c r="B214" s="1" t="n">
        <v>45072</v>
      </c>
      <c r="C214" s="1" t="n">
        <v>45471</v>
      </c>
      <c r="D214" t="inlineStr">
        <is>
          <t>GÄVLEBORGS LÄN</t>
        </is>
      </c>
      <c r="E214" t="inlineStr">
        <is>
          <t>HOFORS</t>
        </is>
      </c>
      <c r="G214" t="n">
        <v>2.4</v>
      </c>
      <c r="H214" t="n">
        <v>0</v>
      </c>
      <c r="I214" t="n">
        <v>0</v>
      </c>
      <c r="J214" t="n">
        <v>0</v>
      </c>
      <c r="K214" t="n">
        <v>0</v>
      </c>
      <c r="L214" t="n">
        <v>0</v>
      </c>
      <c r="M214" t="n">
        <v>0</v>
      </c>
      <c r="N214" t="n">
        <v>0</v>
      </c>
      <c r="O214" t="n">
        <v>0</v>
      </c>
      <c r="P214" t="n">
        <v>0</v>
      </c>
      <c r="Q214" t="n">
        <v>0</v>
      </c>
      <c r="R214" s="2" t="inlineStr"/>
    </row>
    <row r="215" ht="15" customHeight="1">
      <c r="A215" t="inlineStr">
        <is>
          <t>A 24646-2023</t>
        </is>
      </c>
      <c r="B215" s="1" t="n">
        <v>45084</v>
      </c>
      <c r="C215" s="1" t="n">
        <v>45471</v>
      </c>
      <c r="D215" t="inlineStr">
        <is>
          <t>GÄVLEBORGS LÄN</t>
        </is>
      </c>
      <c r="E215" t="inlineStr">
        <is>
          <t>HOFORS</t>
        </is>
      </c>
      <c r="G215" t="n">
        <v>1.1</v>
      </c>
      <c r="H215" t="n">
        <v>0</v>
      </c>
      <c r="I215" t="n">
        <v>0</v>
      </c>
      <c r="J215" t="n">
        <v>0</v>
      </c>
      <c r="K215" t="n">
        <v>0</v>
      </c>
      <c r="L215" t="n">
        <v>0</v>
      </c>
      <c r="M215" t="n">
        <v>0</v>
      </c>
      <c r="N215" t="n">
        <v>0</v>
      </c>
      <c r="O215" t="n">
        <v>0</v>
      </c>
      <c r="P215" t="n">
        <v>0</v>
      </c>
      <c r="Q215" t="n">
        <v>0</v>
      </c>
      <c r="R215" s="2" t="inlineStr"/>
    </row>
    <row r="216" ht="15" customHeight="1">
      <c r="A216" t="inlineStr">
        <is>
          <t>A 24769-2023</t>
        </is>
      </c>
      <c r="B216" s="1" t="n">
        <v>45084</v>
      </c>
      <c r="C216" s="1" t="n">
        <v>45471</v>
      </c>
      <c r="D216" t="inlineStr">
        <is>
          <t>GÄVLEBORGS LÄN</t>
        </is>
      </c>
      <c r="E216" t="inlineStr">
        <is>
          <t>HOFORS</t>
        </is>
      </c>
      <c r="F216" t="inlineStr">
        <is>
          <t>Sveaskog</t>
        </is>
      </c>
      <c r="G216" t="n">
        <v>10.6</v>
      </c>
      <c r="H216" t="n">
        <v>0</v>
      </c>
      <c r="I216" t="n">
        <v>0</v>
      </c>
      <c r="J216" t="n">
        <v>0</v>
      </c>
      <c r="K216" t="n">
        <v>0</v>
      </c>
      <c r="L216" t="n">
        <v>0</v>
      </c>
      <c r="M216" t="n">
        <v>0</v>
      </c>
      <c r="N216" t="n">
        <v>0</v>
      </c>
      <c r="O216" t="n">
        <v>0</v>
      </c>
      <c r="P216" t="n">
        <v>0</v>
      </c>
      <c r="Q216" t="n">
        <v>0</v>
      </c>
      <c r="R216" s="2" t="inlineStr"/>
    </row>
    <row r="217" ht="15" customHeight="1">
      <c r="A217" t="inlineStr">
        <is>
          <t>A 24772-2023</t>
        </is>
      </c>
      <c r="B217" s="1" t="n">
        <v>45084</v>
      </c>
      <c r="C217" s="1" t="n">
        <v>45471</v>
      </c>
      <c r="D217" t="inlineStr">
        <is>
          <t>GÄVLEBORGS LÄN</t>
        </is>
      </c>
      <c r="E217" t="inlineStr">
        <is>
          <t>HOFORS</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24989-2023</t>
        </is>
      </c>
      <c r="B218" s="1" t="n">
        <v>45085</v>
      </c>
      <c r="C218" s="1" t="n">
        <v>45471</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24988-2023</t>
        </is>
      </c>
      <c r="B219" s="1" t="n">
        <v>45085</v>
      </c>
      <c r="C219" s="1" t="n">
        <v>45471</v>
      </c>
      <c r="D219" t="inlineStr">
        <is>
          <t>GÄVLEBORGS LÄN</t>
        </is>
      </c>
      <c r="E219" t="inlineStr">
        <is>
          <t>HOFORS</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27583-2023</t>
        </is>
      </c>
      <c r="B220" s="1" t="n">
        <v>45097</v>
      </c>
      <c r="C220" s="1" t="n">
        <v>45471</v>
      </c>
      <c r="D220" t="inlineStr">
        <is>
          <t>GÄVLEBORGS LÄN</t>
        </is>
      </c>
      <c r="E220" t="inlineStr">
        <is>
          <t>HOFORS</t>
        </is>
      </c>
      <c r="G220" t="n">
        <v>2.3</v>
      </c>
      <c r="H220" t="n">
        <v>0</v>
      </c>
      <c r="I220" t="n">
        <v>0</v>
      </c>
      <c r="J220" t="n">
        <v>0</v>
      </c>
      <c r="K220" t="n">
        <v>0</v>
      </c>
      <c r="L220" t="n">
        <v>0</v>
      </c>
      <c r="M220" t="n">
        <v>0</v>
      </c>
      <c r="N220" t="n">
        <v>0</v>
      </c>
      <c r="O220" t="n">
        <v>0</v>
      </c>
      <c r="P220" t="n">
        <v>0</v>
      </c>
      <c r="Q220" t="n">
        <v>0</v>
      </c>
      <c r="R220" s="2" t="inlineStr"/>
    </row>
    <row r="221" ht="15" customHeight="1">
      <c r="A221" t="inlineStr">
        <is>
          <t>A 28058-2023</t>
        </is>
      </c>
      <c r="B221" s="1" t="n">
        <v>45099</v>
      </c>
      <c r="C221" s="1" t="n">
        <v>45471</v>
      </c>
      <c r="D221" t="inlineStr">
        <is>
          <t>GÄVLEBORGS LÄN</t>
        </is>
      </c>
      <c r="E221" t="inlineStr">
        <is>
          <t>HOFORS</t>
        </is>
      </c>
      <c r="G221" t="n">
        <v>2.5</v>
      </c>
      <c r="H221" t="n">
        <v>0</v>
      </c>
      <c r="I221" t="n">
        <v>0</v>
      </c>
      <c r="J221" t="n">
        <v>0</v>
      </c>
      <c r="K221" t="n">
        <v>0</v>
      </c>
      <c r="L221" t="n">
        <v>0</v>
      </c>
      <c r="M221" t="n">
        <v>0</v>
      </c>
      <c r="N221" t="n">
        <v>0</v>
      </c>
      <c r="O221" t="n">
        <v>0</v>
      </c>
      <c r="P221" t="n">
        <v>0</v>
      </c>
      <c r="Q221" t="n">
        <v>0</v>
      </c>
      <c r="R221" s="2" t="inlineStr"/>
    </row>
    <row r="222" ht="15" customHeight="1">
      <c r="A222" t="inlineStr">
        <is>
          <t>A 31607-2023</t>
        </is>
      </c>
      <c r="B222" s="1" t="n">
        <v>45117</v>
      </c>
      <c r="C222" s="1" t="n">
        <v>45471</v>
      </c>
      <c r="D222" t="inlineStr">
        <is>
          <t>GÄVLEBORGS LÄN</t>
        </is>
      </c>
      <c r="E222" t="inlineStr">
        <is>
          <t>HOFORS</t>
        </is>
      </c>
      <c r="G222" t="n">
        <v>3.8</v>
      </c>
      <c r="H222" t="n">
        <v>0</v>
      </c>
      <c r="I222" t="n">
        <v>0</v>
      </c>
      <c r="J222" t="n">
        <v>0</v>
      </c>
      <c r="K222" t="n">
        <v>0</v>
      </c>
      <c r="L222" t="n">
        <v>0</v>
      </c>
      <c r="M222" t="n">
        <v>0</v>
      </c>
      <c r="N222" t="n">
        <v>0</v>
      </c>
      <c r="O222" t="n">
        <v>0</v>
      </c>
      <c r="P222" t="n">
        <v>0</v>
      </c>
      <c r="Q222" t="n">
        <v>0</v>
      </c>
      <c r="R222" s="2" t="inlineStr"/>
    </row>
    <row r="223" ht="15" customHeight="1">
      <c r="A223" t="inlineStr">
        <is>
          <t>A 31611-2023</t>
        </is>
      </c>
      <c r="B223" s="1" t="n">
        <v>45117</v>
      </c>
      <c r="C223" s="1" t="n">
        <v>45471</v>
      </c>
      <c r="D223" t="inlineStr">
        <is>
          <t>GÄVLEBORGS LÄN</t>
        </is>
      </c>
      <c r="E223" t="inlineStr">
        <is>
          <t>HOFORS</t>
        </is>
      </c>
      <c r="G223" t="n">
        <v>4.4</v>
      </c>
      <c r="H223" t="n">
        <v>0</v>
      </c>
      <c r="I223" t="n">
        <v>0</v>
      </c>
      <c r="J223" t="n">
        <v>0</v>
      </c>
      <c r="K223" t="n">
        <v>0</v>
      </c>
      <c r="L223" t="n">
        <v>0</v>
      </c>
      <c r="M223" t="n">
        <v>0</v>
      </c>
      <c r="N223" t="n">
        <v>0</v>
      </c>
      <c r="O223" t="n">
        <v>0</v>
      </c>
      <c r="P223" t="n">
        <v>0</v>
      </c>
      <c r="Q223" t="n">
        <v>0</v>
      </c>
      <c r="R223" s="2" t="inlineStr"/>
    </row>
    <row r="224" ht="15" customHeight="1">
      <c r="A224" t="inlineStr">
        <is>
          <t>A 31613-2023</t>
        </is>
      </c>
      <c r="B224" s="1" t="n">
        <v>45117</v>
      </c>
      <c r="C224" s="1" t="n">
        <v>45471</v>
      </c>
      <c r="D224" t="inlineStr">
        <is>
          <t>GÄVLEBORGS LÄN</t>
        </is>
      </c>
      <c r="E224" t="inlineStr">
        <is>
          <t>HOFORS</t>
        </is>
      </c>
      <c r="G224" t="n">
        <v>1.2</v>
      </c>
      <c r="H224" t="n">
        <v>0</v>
      </c>
      <c r="I224" t="n">
        <v>0</v>
      </c>
      <c r="J224" t="n">
        <v>0</v>
      </c>
      <c r="K224" t="n">
        <v>0</v>
      </c>
      <c r="L224" t="n">
        <v>0</v>
      </c>
      <c r="M224" t="n">
        <v>0</v>
      </c>
      <c r="N224" t="n">
        <v>0</v>
      </c>
      <c r="O224" t="n">
        <v>0</v>
      </c>
      <c r="P224" t="n">
        <v>0</v>
      </c>
      <c r="Q224" t="n">
        <v>0</v>
      </c>
      <c r="R224" s="2" t="inlineStr"/>
    </row>
    <row r="225" ht="15" customHeight="1">
      <c r="A225" t="inlineStr">
        <is>
          <t>A 31823-2023</t>
        </is>
      </c>
      <c r="B225" s="1" t="n">
        <v>45118</v>
      </c>
      <c r="C225" s="1" t="n">
        <v>45471</v>
      </c>
      <c r="D225" t="inlineStr">
        <is>
          <t>GÄVLEBORGS LÄN</t>
        </is>
      </c>
      <c r="E225" t="inlineStr">
        <is>
          <t>HOFORS</t>
        </is>
      </c>
      <c r="G225" t="n">
        <v>1.2</v>
      </c>
      <c r="H225" t="n">
        <v>0</v>
      </c>
      <c r="I225" t="n">
        <v>0</v>
      </c>
      <c r="J225" t="n">
        <v>0</v>
      </c>
      <c r="K225" t="n">
        <v>0</v>
      </c>
      <c r="L225" t="n">
        <v>0</v>
      </c>
      <c r="M225" t="n">
        <v>0</v>
      </c>
      <c r="N225" t="n">
        <v>0</v>
      </c>
      <c r="O225" t="n">
        <v>0</v>
      </c>
      <c r="P225" t="n">
        <v>0</v>
      </c>
      <c r="Q225" t="n">
        <v>0</v>
      </c>
      <c r="R225" s="2" t="inlineStr"/>
    </row>
    <row r="226" ht="15" customHeight="1">
      <c r="A226" t="inlineStr">
        <is>
          <t>A 31871-2023</t>
        </is>
      </c>
      <c r="B226" s="1" t="n">
        <v>45118</v>
      </c>
      <c r="C226" s="1" t="n">
        <v>45471</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33485-2023</t>
        </is>
      </c>
      <c r="B227" s="1" t="n">
        <v>45118</v>
      </c>
      <c r="C227" s="1" t="n">
        <v>45471</v>
      </c>
      <c r="D227" t="inlineStr">
        <is>
          <t>GÄVLEBORGS LÄN</t>
        </is>
      </c>
      <c r="E227" t="inlineStr">
        <is>
          <t>HOFORS</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33483-2023</t>
        </is>
      </c>
      <c r="B228" s="1" t="n">
        <v>45118</v>
      </c>
      <c r="C228" s="1" t="n">
        <v>45471</v>
      </c>
      <c r="D228" t="inlineStr">
        <is>
          <t>GÄVLEBORGS LÄN</t>
        </is>
      </c>
      <c r="E228" t="inlineStr">
        <is>
          <t>HOFORS</t>
        </is>
      </c>
      <c r="F228" t="inlineStr">
        <is>
          <t>Bergvik skog väst AB</t>
        </is>
      </c>
      <c r="G228" t="n">
        <v>6.7</v>
      </c>
      <c r="H228" t="n">
        <v>0</v>
      </c>
      <c r="I228" t="n">
        <v>0</v>
      </c>
      <c r="J228" t="n">
        <v>0</v>
      </c>
      <c r="K228" t="n">
        <v>0</v>
      </c>
      <c r="L228" t="n">
        <v>0</v>
      </c>
      <c r="M228" t="n">
        <v>0</v>
      </c>
      <c r="N228" t="n">
        <v>0</v>
      </c>
      <c r="O228" t="n">
        <v>0</v>
      </c>
      <c r="P228" t="n">
        <v>0</v>
      </c>
      <c r="Q228" t="n">
        <v>0</v>
      </c>
      <c r="R228" s="2" t="inlineStr"/>
    </row>
    <row r="229" ht="15" customHeight="1">
      <c r="A229" t="inlineStr">
        <is>
          <t>A 33495-2023</t>
        </is>
      </c>
      <c r="B229" s="1" t="n">
        <v>45118</v>
      </c>
      <c r="C229" s="1" t="n">
        <v>45471</v>
      </c>
      <c r="D229" t="inlineStr">
        <is>
          <t>GÄVLEBORGS LÄN</t>
        </is>
      </c>
      <c r="E229" t="inlineStr">
        <is>
          <t>HOFORS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32980-2023</t>
        </is>
      </c>
      <c r="B230" s="1" t="n">
        <v>45125</v>
      </c>
      <c r="C230" s="1" t="n">
        <v>45471</v>
      </c>
      <c r="D230" t="inlineStr">
        <is>
          <t>GÄVLEBORGS LÄN</t>
        </is>
      </c>
      <c r="E230" t="inlineStr">
        <is>
          <t>HOFORS</t>
        </is>
      </c>
      <c r="G230" t="n">
        <v>0.7</v>
      </c>
      <c r="H230" t="n">
        <v>0</v>
      </c>
      <c r="I230" t="n">
        <v>0</v>
      </c>
      <c r="J230" t="n">
        <v>0</v>
      </c>
      <c r="K230" t="n">
        <v>0</v>
      </c>
      <c r="L230" t="n">
        <v>0</v>
      </c>
      <c r="M230" t="n">
        <v>0</v>
      </c>
      <c r="N230" t="n">
        <v>0</v>
      </c>
      <c r="O230" t="n">
        <v>0</v>
      </c>
      <c r="P230" t="n">
        <v>0</v>
      </c>
      <c r="Q230" t="n">
        <v>0</v>
      </c>
      <c r="R230" s="2" t="inlineStr"/>
    </row>
    <row r="231" ht="15" customHeight="1">
      <c r="A231" t="inlineStr">
        <is>
          <t>A 33296-2023</t>
        </is>
      </c>
      <c r="B231" s="1" t="n">
        <v>45127</v>
      </c>
      <c r="C231" s="1" t="n">
        <v>45471</v>
      </c>
      <c r="D231" t="inlineStr">
        <is>
          <t>GÄVLEBORGS LÄN</t>
        </is>
      </c>
      <c r="E231" t="inlineStr">
        <is>
          <t>HOFORS</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34232-2023</t>
        </is>
      </c>
      <c r="B232" s="1" t="n">
        <v>45127</v>
      </c>
      <c r="C232" s="1" t="n">
        <v>45471</v>
      </c>
      <c r="D232" t="inlineStr">
        <is>
          <t>GÄVLEBORGS LÄN</t>
        </is>
      </c>
      <c r="E232" t="inlineStr">
        <is>
          <t>HOFORS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34217-2023</t>
        </is>
      </c>
      <c r="B233" s="1" t="n">
        <v>45138</v>
      </c>
      <c r="C233" s="1" t="n">
        <v>45471</v>
      </c>
      <c r="D233" t="inlineStr">
        <is>
          <t>GÄVLEBORGS LÄN</t>
        </is>
      </c>
      <c r="E233" t="inlineStr">
        <is>
          <t>HOFORS</t>
        </is>
      </c>
      <c r="G233" t="n">
        <v>2</v>
      </c>
      <c r="H233" t="n">
        <v>0</v>
      </c>
      <c r="I233" t="n">
        <v>0</v>
      </c>
      <c r="J233" t="n">
        <v>0</v>
      </c>
      <c r="K233" t="n">
        <v>0</v>
      </c>
      <c r="L233" t="n">
        <v>0</v>
      </c>
      <c r="M233" t="n">
        <v>0</v>
      </c>
      <c r="N233" t="n">
        <v>0</v>
      </c>
      <c r="O233" t="n">
        <v>0</v>
      </c>
      <c r="P233" t="n">
        <v>0</v>
      </c>
      <c r="Q233" t="n">
        <v>0</v>
      </c>
      <c r="R233" s="2" t="inlineStr"/>
    </row>
    <row r="234" ht="15" customHeight="1">
      <c r="A234" t="inlineStr">
        <is>
          <t>A 34242-2023</t>
        </is>
      </c>
      <c r="B234" s="1" t="n">
        <v>45138</v>
      </c>
      <c r="C234" s="1" t="n">
        <v>45471</v>
      </c>
      <c r="D234" t="inlineStr">
        <is>
          <t>GÄVLEBORGS LÄN</t>
        </is>
      </c>
      <c r="E234" t="inlineStr">
        <is>
          <t>HOFORS</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34246-2023</t>
        </is>
      </c>
      <c r="B235" s="1" t="n">
        <v>45138</v>
      </c>
      <c r="C235" s="1" t="n">
        <v>45471</v>
      </c>
      <c r="D235" t="inlineStr">
        <is>
          <t>GÄVLEBORGS LÄN</t>
        </is>
      </c>
      <c r="E235" t="inlineStr">
        <is>
          <t>HOFORS</t>
        </is>
      </c>
      <c r="F235" t="inlineStr">
        <is>
          <t>Sveaskog</t>
        </is>
      </c>
      <c r="G235" t="n">
        <v>5.6</v>
      </c>
      <c r="H235" t="n">
        <v>0</v>
      </c>
      <c r="I235" t="n">
        <v>0</v>
      </c>
      <c r="J235" t="n">
        <v>0</v>
      </c>
      <c r="K235" t="n">
        <v>0</v>
      </c>
      <c r="L235" t="n">
        <v>0</v>
      </c>
      <c r="M235" t="n">
        <v>0</v>
      </c>
      <c r="N235" t="n">
        <v>0</v>
      </c>
      <c r="O235" t="n">
        <v>0</v>
      </c>
      <c r="P235" t="n">
        <v>0</v>
      </c>
      <c r="Q235" t="n">
        <v>0</v>
      </c>
      <c r="R235" s="2" t="inlineStr"/>
    </row>
    <row r="236" ht="15" customHeight="1">
      <c r="A236" t="inlineStr">
        <is>
          <t>A 34245-2023</t>
        </is>
      </c>
      <c r="B236" s="1" t="n">
        <v>45138</v>
      </c>
      <c r="C236" s="1" t="n">
        <v>45471</v>
      </c>
      <c r="D236" t="inlineStr">
        <is>
          <t>GÄVLEBORGS LÄN</t>
        </is>
      </c>
      <c r="E236" t="inlineStr">
        <is>
          <t>HOFORS</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34247-2023</t>
        </is>
      </c>
      <c r="B237" s="1" t="n">
        <v>45138</v>
      </c>
      <c r="C237" s="1" t="n">
        <v>45471</v>
      </c>
      <c r="D237" t="inlineStr">
        <is>
          <t>GÄVLEBORGS LÄN</t>
        </is>
      </c>
      <c r="E237" t="inlineStr">
        <is>
          <t>HOFORS</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35114-2023</t>
        </is>
      </c>
      <c r="B238" s="1" t="n">
        <v>45145</v>
      </c>
      <c r="C238" s="1" t="n">
        <v>45471</v>
      </c>
      <c r="D238" t="inlineStr">
        <is>
          <t>GÄVLEBORGS LÄN</t>
        </is>
      </c>
      <c r="E238" t="inlineStr">
        <is>
          <t>HOFORS</t>
        </is>
      </c>
      <c r="G238" t="n">
        <v>3</v>
      </c>
      <c r="H238" t="n">
        <v>0</v>
      </c>
      <c r="I238" t="n">
        <v>0</v>
      </c>
      <c r="J238" t="n">
        <v>0</v>
      </c>
      <c r="K238" t="n">
        <v>0</v>
      </c>
      <c r="L238" t="n">
        <v>0</v>
      </c>
      <c r="M238" t="n">
        <v>0</v>
      </c>
      <c r="N238" t="n">
        <v>0</v>
      </c>
      <c r="O238" t="n">
        <v>0</v>
      </c>
      <c r="P238" t="n">
        <v>0</v>
      </c>
      <c r="Q238" t="n">
        <v>0</v>
      </c>
      <c r="R238" s="2" t="inlineStr"/>
    </row>
    <row r="239" ht="15" customHeight="1">
      <c r="A239" t="inlineStr">
        <is>
          <t>A 35118-2023</t>
        </is>
      </c>
      <c r="B239" s="1" t="n">
        <v>45145</v>
      </c>
      <c r="C239" s="1" t="n">
        <v>45471</v>
      </c>
      <c r="D239" t="inlineStr">
        <is>
          <t>GÄVLEBORGS LÄN</t>
        </is>
      </c>
      <c r="E239" t="inlineStr">
        <is>
          <t>HOFORS</t>
        </is>
      </c>
      <c r="G239" t="n">
        <v>3.2</v>
      </c>
      <c r="H239" t="n">
        <v>0</v>
      </c>
      <c r="I239" t="n">
        <v>0</v>
      </c>
      <c r="J239" t="n">
        <v>0</v>
      </c>
      <c r="K239" t="n">
        <v>0</v>
      </c>
      <c r="L239" t="n">
        <v>0</v>
      </c>
      <c r="M239" t="n">
        <v>0</v>
      </c>
      <c r="N239" t="n">
        <v>0</v>
      </c>
      <c r="O239" t="n">
        <v>0</v>
      </c>
      <c r="P239" t="n">
        <v>0</v>
      </c>
      <c r="Q239" t="n">
        <v>0</v>
      </c>
      <c r="R239" s="2" t="inlineStr"/>
    </row>
    <row r="240" ht="15" customHeight="1">
      <c r="A240" t="inlineStr">
        <is>
          <t>A 35107-2023</t>
        </is>
      </c>
      <c r="B240" s="1" t="n">
        <v>45145</v>
      </c>
      <c r="C240" s="1" t="n">
        <v>45471</v>
      </c>
      <c r="D240" t="inlineStr">
        <is>
          <t>GÄVLEBORGS LÄN</t>
        </is>
      </c>
      <c r="E240" t="inlineStr">
        <is>
          <t>HOFORS</t>
        </is>
      </c>
      <c r="G240" t="n">
        <v>8.4</v>
      </c>
      <c r="H240" t="n">
        <v>0</v>
      </c>
      <c r="I240" t="n">
        <v>0</v>
      </c>
      <c r="J240" t="n">
        <v>0</v>
      </c>
      <c r="K240" t="n">
        <v>0</v>
      </c>
      <c r="L240" t="n">
        <v>0</v>
      </c>
      <c r="M240" t="n">
        <v>0</v>
      </c>
      <c r="N240" t="n">
        <v>0</v>
      </c>
      <c r="O240" t="n">
        <v>0</v>
      </c>
      <c r="P240" t="n">
        <v>0</v>
      </c>
      <c r="Q240" t="n">
        <v>0</v>
      </c>
      <c r="R240" s="2" t="inlineStr"/>
    </row>
    <row r="241" ht="15" customHeight="1">
      <c r="A241" t="inlineStr">
        <is>
          <t>A 35136-2023</t>
        </is>
      </c>
      <c r="B241" s="1" t="n">
        <v>45145</v>
      </c>
      <c r="C241" s="1" t="n">
        <v>45471</v>
      </c>
      <c r="D241" t="inlineStr">
        <is>
          <t>GÄVLEBORGS LÄN</t>
        </is>
      </c>
      <c r="E241" t="inlineStr">
        <is>
          <t>HOFORS</t>
        </is>
      </c>
      <c r="G241" t="n">
        <v>2</v>
      </c>
      <c r="H241" t="n">
        <v>0</v>
      </c>
      <c r="I241" t="n">
        <v>0</v>
      </c>
      <c r="J241" t="n">
        <v>0</v>
      </c>
      <c r="K241" t="n">
        <v>0</v>
      </c>
      <c r="L241" t="n">
        <v>0</v>
      </c>
      <c r="M241" t="n">
        <v>0</v>
      </c>
      <c r="N241" t="n">
        <v>0</v>
      </c>
      <c r="O241" t="n">
        <v>0</v>
      </c>
      <c r="P241" t="n">
        <v>0</v>
      </c>
      <c r="Q241" t="n">
        <v>0</v>
      </c>
      <c r="R241" s="2" t="inlineStr"/>
    </row>
    <row r="242" ht="15" customHeight="1">
      <c r="A242" t="inlineStr">
        <is>
          <t>A 35363-2023</t>
        </is>
      </c>
      <c r="B242" s="1" t="n">
        <v>45146</v>
      </c>
      <c r="C242" s="1" t="n">
        <v>45471</v>
      </c>
      <c r="D242" t="inlineStr">
        <is>
          <t>GÄVLEBORGS LÄN</t>
        </is>
      </c>
      <c r="E242" t="inlineStr">
        <is>
          <t>HOFORS</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35612-2023</t>
        </is>
      </c>
      <c r="B243" s="1" t="n">
        <v>45147</v>
      </c>
      <c r="C243" s="1" t="n">
        <v>45471</v>
      </c>
      <c r="D243" t="inlineStr">
        <is>
          <t>GÄVLEBORGS LÄN</t>
        </is>
      </c>
      <c r="E243" t="inlineStr">
        <is>
          <t>HOFORS</t>
        </is>
      </c>
      <c r="G243" t="n">
        <v>4.2</v>
      </c>
      <c r="H243" t="n">
        <v>0</v>
      </c>
      <c r="I243" t="n">
        <v>0</v>
      </c>
      <c r="J243" t="n">
        <v>0</v>
      </c>
      <c r="K243" t="n">
        <v>0</v>
      </c>
      <c r="L243" t="n">
        <v>0</v>
      </c>
      <c r="M243" t="n">
        <v>0</v>
      </c>
      <c r="N243" t="n">
        <v>0</v>
      </c>
      <c r="O243" t="n">
        <v>0</v>
      </c>
      <c r="P243" t="n">
        <v>0</v>
      </c>
      <c r="Q243" t="n">
        <v>0</v>
      </c>
      <c r="R243" s="2" t="inlineStr"/>
    </row>
    <row r="244" ht="15" customHeight="1">
      <c r="A244" t="inlineStr">
        <is>
          <t>A 35607-2023</t>
        </is>
      </c>
      <c r="B244" s="1" t="n">
        <v>45147</v>
      </c>
      <c r="C244" s="1" t="n">
        <v>45471</v>
      </c>
      <c r="D244" t="inlineStr">
        <is>
          <t>GÄVLEBORGS LÄN</t>
        </is>
      </c>
      <c r="E244" t="inlineStr">
        <is>
          <t>HOFORS</t>
        </is>
      </c>
      <c r="G244" t="n">
        <v>2.3</v>
      </c>
      <c r="H244" t="n">
        <v>0</v>
      </c>
      <c r="I244" t="n">
        <v>0</v>
      </c>
      <c r="J244" t="n">
        <v>0</v>
      </c>
      <c r="K244" t="n">
        <v>0</v>
      </c>
      <c r="L244" t="n">
        <v>0</v>
      </c>
      <c r="M244" t="n">
        <v>0</v>
      </c>
      <c r="N244" t="n">
        <v>0</v>
      </c>
      <c r="O244" t="n">
        <v>0</v>
      </c>
      <c r="P244" t="n">
        <v>0</v>
      </c>
      <c r="Q244" t="n">
        <v>0</v>
      </c>
      <c r="R244" s="2" t="inlineStr"/>
    </row>
    <row r="245" ht="15" customHeight="1">
      <c r="A245" t="inlineStr">
        <is>
          <t>A 35856-2023</t>
        </is>
      </c>
      <c r="B245" s="1" t="n">
        <v>45148</v>
      </c>
      <c r="C245" s="1" t="n">
        <v>45471</v>
      </c>
      <c r="D245" t="inlineStr">
        <is>
          <t>GÄVLEBORGS LÄN</t>
        </is>
      </c>
      <c r="E245" t="inlineStr">
        <is>
          <t>HOFORS</t>
        </is>
      </c>
      <c r="G245" t="n">
        <v>0.6</v>
      </c>
      <c r="H245" t="n">
        <v>0</v>
      </c>
      <c r="I245" t="n">
        <v>0</v>
      </c>
      <c r="J245" t="n">
        <v>0</v>
      </c>
      <c r="K245" t="n">
        <v>0</v>
      </c>
      <c r="L245" t="n">
        <v>0</v>
      </c>
      <c r="M245" t="n">
        <v>0</v>
      </c>
      <c r="N245" t="n">
        <v>0</v>
      </c>
      <c r="O245" t="n">
        <v>0</v>
      </c>
      <c r="P245" t="n">
        <v>0</v>
      </c>
      <c r="Q245" t="n">
        <v>0</v>
      </c>
      <c r="R245" s="2" t="inlineStr"/>
    </row>
    <row r="246" ht="15" customHeight="1">
      <c r="A246" t="inlineStr">
        <is>
          <t>A 37763-2023</t>
        </is>
      </c>
      <c r="B246" s="1" t="n">
        <v>45156</v>
      </c>
      <c r="C246" s="1" t="n">
        <v>45471</v>
      </c>
      <c r="D246" t="inlineStr">
        <is>
          <t>GÄVLEBORGS LÄN</t>
        </is>
      </c>
      <c r="E246" t="inlineStr">
        <is>
          <t>HOFORS</t>
        </is>
      </c>
      <c r="G246" t="n">
        <v>2.9</v>
      </c>
      <c r="H246" t="n">
        <v>0</v>
      </c>
      <c r="I246" t="n">
        <v>0</v>
      </c>
      <c r="J246" t="n">
        <v>0</v>
      </c>
      <c r="K246" t="n">
        <v>0</v>
      </c>
      <c r="L246" t="n">
        <v>0</v>
      </c>
      <c r="M246" t="n">
        <v>0</v>
      </c>
      <c r="N246" t="n">
        <v>0</v>
      </c>
      <c r="O246" t="n">
        <v>0</v>
      </c>
      <c r="P246" t="n">
        <v>0</v>
      </c>
      <c r="Q246" t="n">
        <v>0</v>
      </c>
      <c r="R246" s="2" t="inlineStr"/>
    </row>
    <row r="247" ht="15" customHeight="1">
      <c r="A247" t="inlineStr">
        <is>
          <t>A 37689-2023</t>
        </is>
      </c>
      <c r="B247" s="1" t="n">
        <v>45159</v>
      </c>
      <c r="C247" s="1" t="n">
        <v>45471</v>
      </c>
      <c r="D247" t="inlineStr">
        <is>
          <t>GÄVLEBORGS LÄN</t>
        </is>
      </c>
      <c r="E247" t="inlineStr">
        <is>
          <t>HOFORS</t>
        </is>
      </c>
      <c r="G247" t="n">
        <v>2.2</v>
      </c>
      <c r="H247" t="n">
        <v>0</v>
      </c>
      <c r="I247" t="n">
        <v>0</v>
      </c>
      <c r="J247" t="n">
        <v>0</v>
      </c>
      <c r="K247" t="n">
        <v>0</v>
      </c>
      <c r="L247" t="n">
        <v>0</v>
      </c>
      <c r="M247" t="n">
        <v>0</v>
      </c>
      <c r="N247" t="n">
        <v>0</v>
      </c>
      <c r="O247" t="n">
        <v>0</v>
      </c>
      <c r="P247" t="n">
        <v>0</v>
      </c>
      <c r="Q247" t="n">
        <v>0</v>
      </c>
      <c r="R247" s="2" t="inlineStr"/>
    </row>
    <row r="248" ht="15" customHeight="1">
      <c r="A248" t="inlineStr">
        <is>
          <t>A 37693-2023</t>
        </is>
      </c>
      <c r="B248" s="1" t="n">
        <v>45159</v>
      </c>
      <c r="C248" s="1" t="n">
        <v>45471</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41020-2023</t>
        </is>
      </c>
      <c r="B249" s="1" t="n">
        <v>45173</v>
      </c>
      <c r="C249" s="1" t="n">
        <v>45471</v>
      </c>
      <c r="D249" t="inlineStr">
        <is>
          <t>GÄVLEBORGS LÄN</t>
        </is>
      </c>
      <c r="E249" t="inlineStr">
        <is>
          <t>HOFORS</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42020-2023</t>
        </is>
      </c>
      <c r="B250" s="1" t="n">
        <v>45177</v>
      </c>
      <c r="C250" s="1" t="n">
        <v>45471</v>
      </c>
      <c r="D250" t="inlineStr">
        <is>
          <t>GÄVLEBORGS LÄN</t>
        </is>
      </c>
      <c r="E250" t="inlineStr">
        <is>
          <t>HOFORS</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43318-2023</t>
        </is>
      </c>
      <c r="B251" s="1" t="n">
        <v>45183</v>
      </c>
      <c r="C251" s="1" t="n">
        <v>45471</v>
      </c>
      <c r="D251" t="inlineStr">
        <is>
          <t>GÄVLEBORGS LÄN</t>
        </is>
      </c>
      <c r="E251" t="inlineStr">
        <is>
          <t>HOFORS</t>
        </is>
      </c>
      <c r="G251" t="n">
        <v>1.6</v>
      </c>
      <c r="H251" t="n">
        <v>0</v>
      </c>
      <c r="I251" t="n">
        <v>0</v>
      </c>
      <c r="J251" t="n">
        <v>0</v>
      </c>
      <c r="K251" t="n">
        <v>0</v>
      </c>
      <c r="L251" t="n">
        <v>0</v>
      </c>
      <c r="M251" t="n">
        <v>0</v>
      </c>
      <c r="N251" t="n">
        <v>0</v>
      </c>
      <c r="O251" t="n">
        <v>0</v>
      </c>
      <c r="P251" t="n">
        <v>0</v>
      </c>
      <c r="Q251" t="n">
        <v>0</v>
      </c>
      <c r="R251" s="2" t="inlineStr"/>
    </row>
    <row r="252" ht="15" customHeight="1">
      <c r="A252" t="inlineStr">
        <is>
          <t>A 43726-2023</t>
        </is>
      </c>
      <c r="B252" s="1" t="n">
        <v>45187</v>
      </c>
      <c r="C252" s="1" t="n">
        <v>45471</v>
      </c>
      <c r="D252" t="inlineStr">
        <is>
          <t>GÄVLEBORGS LÄN</t>
        </is>
      </c>
      <c r="E252" t="inlineStr">
        <is>
          <t>HOFORS</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43730-2023</t>
        </is>
      </c>
      <c r="B253" s="1" t="n">
        <v>45187</v>
      </c>
      <c r="C253" s="1" t="n">
        <v>45471</v>
      </c>
      <c r="D253" t="inlineStr">
        <is>
          <t>GÄVLEBORGS LÄN</t>
        </is>
      </c>
      <c r="E253" t="inlineStr">
        <is>
          <t>HOFORS</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44356-2023</t>
        </is>
      </c>
      <c r="B254" s="1" t="n">
        <v>45188</v>
      </c>
      <c r="C254" s="1" t="n">
        <v>45471</v>
      </c>
      <c r="D254" t="inlineStr">
        <is>
          <t>GÄVLEBORGS LÄN</t>
        </is>
      </c>
      <c r="E254" t="inlineStr">
        <is>
          <t>HOFORS</t>
        </is>
      </c>
      <c r="G254" t="n">
        <v>2.1</v>
      </c>
      <c r="H254" t="n">
        <v>0</v>
      </c>
      <c r="I254" t="n">
        <v>0</v>
      </c>
      <c r="J254" t="n">
        <v>0</v>
      </c>
      <c r="K254" t="n">
        <v>0</v>
      </c>
      <c r="L254" t="n">
        <v>0</v>
      </c>
      <c r="M254" t="n">
        <v>0</v>
      </c>
      <c r="N254" t="n">
        <v>0</v>
      </c>
      <c r="O254" t="n">
        <v>0</v>
      </c>
      <c r="P254" t="n">
        <v>0</v>
      </c>
      <c r="Q254" t="n">
        <v>0</v>
      </c>
      <c r="R254" s="2" t="inlineStr"/>
    </row>
    <row r="255" ht="15" customHeight="1">
      <c r="A255" t="inlineStr">
        <is>
          <t>A 47284-2023</t>
        </is>
      </c>
      <c r="B255" s="1" t="n">
        <v>45202</v>
      </c>
      <c r="C255" s="1" t="n">
        <v>45471</v>
      </c>
      <c r="D255" t="inlineStr">
        <is>
          <t>GÄVLEBORGS LÄN</t>
        </is>
      </c>
      <c r="E255" t="inlineStr">
        <is>
          <t>HOFORS</t>
        </is>
      </c>
      <c r="G255" t="n">
        <v>1</v>
      </c>
      <c r="H255" t="n">
        <v>0</v>
      </c>
      <c r="I255" t="n">
        <v>0</v>
      </c>
      <c r="J255" t="n">
        <v>0</v>
      </c>
      <c r="K255" t="n">
        <v>0</v>
      </c>
      <c r="L255" t="n">
        <v>0</v>
      </c>
      <c r="M255" t="n">
        <v>0</v>
      </c>
      <c r="N255" t="n">
        <v>0</v>
      </c>
      <c r="O255" t="n">
        <v>0</v>
      </c>
      <c r="P255" t="n">
        <v>0</v>
      </c>
      <c r="Q255" t="n">
        <v>0</v>
      </c>
      <c r="R255" s="2" t="inlineStr"/>
    </row>
    <row r="256" ht="15" customHeight="1">
      <c r="A256" t="inlineStr">
        <is>
          <t>A 51337-2023</t>
        </is>
      </c>
      <c r="B256" s="1" t="n">
        <v>45219</v>
      </c>
      <c r="C256" s="1" t="n">
        <v>45471</v>
      </c>
      <c r="D256" t="inlineStr">
        <is>
          <t>GÄVLEBORGS LÄN</t>
        </is>
      </c>
      <c r="E256" t="inlineStr">
        <is>
          <t>HOFORS</t>
        </is>
      </c>
      <c r="G256" t="n">
        <v>1</v>
      </c>
      <c r="H256" t="n">
        <v>0</v>
      </c>
      <c r="I256" t="n">
        <v>0</v>
      </c>
      <c r="J256" t="n">
        <v>0</v>
      </c>
      <c r="K256" t="n">
        <v>0</v>
      </c>
      <c r="L256" t="n">
        <v>0</v>
      </c>
      <c r="M256" t="n">
        <v>0</v>
      </c>
      <c r="N256" t="n">
        <v>0</v>
      </c>
      <c r="O256" t="n">
        <v>0</v>
      </c>
      <c r="P256" t="n">
        <v>0</v>
      </c>
      <c r="Q256" t="n">
        <v>0</v>
      </c>
      <c r="R256" s="2" t="inlineStr"/>
    </row>
    <row r="257" ht="15" customHeight="1">
      <c r="A257" t="inlineStr">
        <is>
          <t>A 52934-2023</t>
        </is>
      </c>
      <c r="B257" s="1" t="n">
        <v>45226</v>
      </c>
      <c r="C257" s="1" t="n">
        <v>45471</v>
      </c>
      <c r="D257" t="inlineStr">
        <is>
          <t>GÄVLEBORGS LÄN</t>
        </is>
      </c>
      <c r="E257" t="inlineStr">
        <is>
          <t>HOFORS</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54149-2023</t>
        </is>
      </c>
      <c r="B258" s="1" t="n">
        <v>45232</v>
      </c>
      <c r="C258" s="1" t="n">
        <v>45471</v>
      </c>
      <c r="D258" t="inlineStr">
        <is>
          <t>GÄVLEBORGS LÄN</t>
        </is>
      </c>
      <c r="E258" t="inlineStr">
        <is>
          <t>HOFORS</t>
        </is>
      </c>
      <c r="G258" t="n">
        <v>4.6</v>
      </c>
      <c r="H258" t="n">
        <v>0</v>
      </c>
      <c r="I258" t="n">
        <v>0</v>
      </c>
      <c r="J258" t="n">
        <v>0</v>
      </c>
      <c r="K258" t="n">
        <v>0</v>
      </c>
      <c r="L258" t="n">
        <v>0</v>
      </c>
      <c r="M258" t="n">
        <v>0</v>
      </c>
      <c r="N258" t="n">
        <v>0</v>
      </c>
      <c r="O258" t="n">
        <v>0</v>
      </c>
      <c r="P258" t="n">
        <v>0</v>
      </c>
      <c r="Q258" t="n">
        <v>0</v>
      </c>
      <c r="R258" s="2" t="inlineStr"/>
    </row>
    <row r="259" ht="15" customHeight="1">
      <c r="A259" t="inlineStr">
        <is>
          <t>A 56162-2023</t>
        </is>
      </c>
      <c r="B259" s="1" t="n">
        <v>45240</v>
      </c>
      <c r="C259" s="1" t="n">
        <v>45471</v>
      </c>
      <c r="D259" t="inlineStr">
        <is>
          <t>GÄVLEBORGS LÄN</t>
        </is>
      </c>
      <c r="E259" t="inlineStr">
        <is>
          <t>HOFORS</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56156-2023</t>
        </is>
      </c>
      <c r="B260" s="1" t="n">
        <v>45240</v>
      </c>
      <c r="C260" s="1" t="n">
        <v>45471</v>
      </c>
      <c r="D260" t="inlineStr">
        <is>
          <t>GÄVLEBORGS LÄN</t>
        </is>
      </c>
      <c r="E260" t="inlineStr">
        <is>
          <t>HOFORS</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56117-2023</t>
        </is>
      </c>
      <c r="B261" s="1" t="n">
        <v>45240</v>
      </c>
      <c r="C261" s="1" t="n">
        <v>45471</v>
      </c>
      <c r="D261" t="inlineStr">
        <is>
          <t>GÄVLEBORGS LÄN</t>
        </is>
      </c>
      <c r="E261" t="inlineStr">
        <is>
          <t>HOFORS</t>
        </is>
      </c>
      <c r="G261" t="n">
        <v>2.5</v>
      </c>
      <c r="H261" t="n">
        <v>0</v>
      </c>
      <c r="I261" t="n">
        <v>0</v>
      </c>
      <c r="J261" t="n">
        <v>0</v>
      </c>
      <c r="K261" t="n">
        <v>0</v>
      </c>
      <c r="L261" t="n">
        <v>0</v>
      </c>
      <c r="M261" t="n">
        <v>0</v>
      </c>
      <c r="N261" t="n">
        <v>0</v>
      </c>
      <c r="O261" t="n">
        <v>0</v>
      </c>
      <c r="P261" t="n">
        <v>0</v>
      </c>
      <c r="Q261" t="n">
        <v>0</v>
      </c>
      <c r="R261" s="2" t="inlineStr"/>
    </row>
    <row r="262" ht="15" customHeight="1">
      <c r="A262" t="inlineStr">
        <is>
          <t>A 58369-2023</t>
        </is>
      </c>
      <c r="B262" s="1" t="n">
        <v>45250</v>
      </c>
      <c r="C262" s="1" t="n">
        <v>45471</v>
      </c>
      <c r="D262" t="inlineStr">
        <is>
          <t>GÄVLEBORGS LÄN</t>
        </is>
      </c>
      <c r="E262" t="inlineStr">
        <is>
          <t>HOFORS</t>
        </is>
      </c>
      <c r="G262" t="n">
        <v>2.1</v>
      </c>
      <c r="H262" t="n">
        <v>0</v>
      </c>
      <c r="I262" t="n">
        <v>0</v>
      </c>
      <c r="J262" t="n">
        <v>0</v>
      </c>
      <c r="K262" t="n">
        <v>0</v>
      </c>
      <c r="L262" t="n">
        <v>0</v>
      </c>
      <c r="M262" t="n">
        <v>0</v>
      </c>
      <c r="N262" t="n">
        <v>0</v>
      </c>
      <c r="O262" t="n">
        <v>0</v>
      </c>
      <c r="P262" t="n">
        <v>0</v>
      </c>
      <c r="Q262" t="n">
        <v>0</v>
      </c>
      <c r="R262" s="2" t="inlineStr"/>
    </row>
    <row r="263" ht="15" customHeight="1">
      <c r="A263" t="inlineStr">
        <is>
          <t>A 58373-2023</t>
        </is>
      </c>
      <c r="B263" s="1" t="n">
        <v>45250</v>
      </c>
      <c r="C263" s="1" t="n">
        <v>45471</v>
      </c>
      <c r="D263" t="inlineStr">
        <is>
          <t>GÄVLEBORGS LÄN</t>
        </is>
      </c>
      <c r="E263" t="inlineStr">
        <is>
          <t>HOFORS</t>
        </is>
      </c>
      <c r="G263" t="n">
        <v>0.6</v>
      </c>
      <c r="H263" t="n">
        <v>0</v>
      </c>
      <c r="I263" t="n">
        <v>0</v>
      </c>
      <c r="J263" t="n">
        <v>0</v>
      </c>
      <c r="K263" t="n">
        <v>0</v>
      </c>
      <c r="L263" t="n">
        <v>0</v>
      </c>
      <c r="M263" t="n">
        <v>0</v>
      </c>
      <c r="N263" t="n">
        <v>0</v>
      </c>
      <c r="O263" t="n">
        <v>0</v>
      </c>
      <c r="P263" t="n">
        <v>0</v>
      </c>
      <c r="Q263" t="n">
        <v>0</v>
      </c>
      <c r="R263" s="2" t="inlineStr"/>
    </row>
    <row r="264" ht="15" customHeight="1">
      <c r="A264" t="inlineStr">
        <is>
          <t>A 58955-2023</t>
        </is>
      </c>
      <c r="B264" s="1" t="n">
        <v>45252</v>
      </c>
      <c r="C264" s="1" t="n">
        <v>45471</v>
      </c>
      <c r="D264" t="inlineStr">
        <is>
          <t>GÄVLEBORGS LÄN</t>
        </is>
      </c>
      <c r="E264" t="inlineStr">
        <is>
          <t>HOFORS</t>
        </is>
      </c>
      <c r="G264" t="n">
        <v>1.4</v>
      </c>
      <c r="H264" t="n">
        <v>0</v>
      </c>
      <c r="I264" t="n">
        <v>0</v>
      </c>
      <c r="J264" t="n">
        <v>0</v>
      </c>
      <c r="K264" t="n">
        <v>0</v>
      </c>
      <c r="L264" t="n">
        <v>0</v>
      </c>
      <c r="M264" t="n">
        <v>0</v>
      </c>
      <c r="N264" t="n">
        <v>0</v>
      </c>
      <c r="O264" t="n">
        <v>0</v>
      </c>
      <c r="P264" t="n">
        <v>0</v>
      </c>
      <c r="Q264" t="n">
        <v>0</v>
      </c>
      <c r="R264" s="2" t="inlineStr"/>
    </row>
    <row r="265" ht="15" customHeight="1">
      <c r="A265" t="inlineStr">
        <is>
          <t>A 59009-2023</t>
        </is>
      </c>
      <c r="B265" s="1" t="n">
        <v>45252</v>
      </c>
      <c r="C265" s="1" t="n">
        <v>45471</v>
      </c>
      <c r="D265" t="inlineStr">
        <is>
          <t>GÄVLEBORGS LÄN</t>
        </is>
      </c>
      <c r="E265" t="inlineStr">
        <is>
          <t>HOFORS</t>
        </is>
      </c>
      <c r="F265" t="inlineStr">
        <is>
          <t>Sveaskog</t>
        </is>
      </c>
      <c r="G265" t="n">
        <v>11.6</v>
      </c>
      <c r="H265" t="n">
        <v>0</v>
      </c>
      <c r="I265" t="n">
        <v>0</v>
      </c>
      <c r="J265" t="n">
        <v>0</v>
      </c>
      <c r="K265" t="n">
        <v>0</v>
      </c>
      <c r="L265" t="n">
        <v>0</v>
      </c>
      <c r="M265" t="n">
        <v>0</v>
      </c>
      <c r="N265" t="n">
        <v>0</v>
      </c>
      <c r="O265" t="n">
        <v>0</v>
      </c>
      <c r="P265" t="n">
        <v>0</v>
      </c>
      <c r="Q265" t="n">
        <v>0</v>
      </c>
      <c r="R265" s="2" t="inlineStr"/>
    </row>
    <row r="266" ht="15" customHeight="1">
      <c r="A266" t="inlineStr">
        <is>
          <t>A 59002-2023</t>
        </is>
      </c>
      <c r="B266" s="1" t="n">
        <v>45252</v>
      </c>
      <c r="C266" s="1" t="n">
        <v>45471</v>
      </c>
      <c r="D266" t="inlineStr">
        <is>
          <t>GÄVLEBORGS LÄN</t>
        </is>
      </c>
      <c r="E266" t="inlineStr">
        <is>
          <t>HOFORS</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59007-2023</t>
        </is>
      </c>
      <c r="B267" s="1" t="n">
        <v>45252</v>
      </c>
      <c r="C267" s="1" t="n">
        <v>45471</v>
      </c>
      <c r="D267" t="inlineStr">
        <is>
          <t>GÄVLEBORGS LÄN</t>
        </is>
      </c>
      <c r="E267" t="inlineStr">
        <is>
          <t>HOFORS</t>
        </is>
      </c>
      <c r="F267" t="inlineStr">
        <is>
          <t>Sveaskog</t>
        </is>
      </c>
      <c r="G267" t="n">
        <v>17.7</v>
      </c>
      <c r="H267" t="n">
        <v>0</v>
      </c>
      <c r="I267" t="n">
        <v>0</v>
      </c>
      <c r="J267" t="n">
        <v>0</v>
      </c>
      <c r="K267" t="n">
        <v>0</v>
      </c>
      <c r="L267" t="n">
        <v>0</v>
      </c>
      <c r="M267" t="n">
        <v>0</v>
      </c>
      <c r="N267" t="n">
        <v>0</v>
      </c>
      <c r="O267" t="n">
        <v>0</v>
      </c>
      <c r="P267" t="n">
        <v>0</v>
      </c>
      <c r="Q267" t="n">
        <v>0</v>
      </c>
      <c r="R267" s="2" t="inlineStr"/>
    </row>
    <row r="268" ht="15" customHeight="1">
      <c r="A268" t="inlineStr">
        <is>
          <t>A 59001-2023</t>
        </is>
      </c>
      <c r="B268" s="1" t="n">
        <v>45252</v>
      </c>
      <c r="C268" s="1" t="n">
        <v>45471</v>
      </c>
      <c r="D268" t="inlineStr">
        <is>
          <t>GÄVLEBORGS LÄN</t>
        </is>
      </c>
      <c r="E268" t="inlineStr">
        <is>
          <t>HOFORS</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59615-2023</t>
        </is>
      </c>
      <c r="B269" s="1" t="n">
        <v>45254</v>
      </c>
      <c r="C269" s="1" t="n">
        <v>45471</v>
      </c>
      <c r="D269" t="inlineStr">
        <is>
          <t>GÄVLEBORGS LÄN</t>
        </is>
      </c>
      <c r="E269" t="inlineStr">
        <is>
          <t>HOFORS</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59882-2023</t>
        </is>
      </c>
      <c r="B270" s="1" t="n">
        <v>45257</v>
      </c>
      <c r="C270" s="1" t="n">
        <v>45471</v>
      </c>
      <c r="D270" t="inlineStr">
        <is>
          <t>GÄVLEBORGS LÄN</t>
        </is>
      </c>
      <c r="E270" t="inlineStr">
        <is>
          <t>HOFORS</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59886-2023</t>
        </is>
      </c>
      <c r="B271" s="1" t="n">
        <v>45257</v>
      </c>
      <c r="C271" s="1" t="n">
        <v>45471</v>
      </c>
      <c r="D271" t="inlineStr">
        <is>
          <t>GÄVLEBORGS LÄN</t>
        </is>
      </c>
      <c r="E271" t="inlineStr">
        <is>
          <t>HOFORS</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60610-2023</t>
        </is>
      </c>
      <c r="B272" s="1" t="n">
        <v>45260</v>
      </c>
      <c r="C272" s="1" t="n">
        <v>45471</v>
      </c>
      <c r="D272" t="inlineStr">
        <is>
          <t>GÄVLEBORGS LÄN</t>
        </is>
      </c>
      <c r="E272" t="inlineStr">
        <is>
          <t>HOFORS</t>
        </is>
      </c>
      <c r="G272" t="n">
        <v>3.3</v>
      </c>
      <c r="H272" t="n">
        <v>0</v>
      </c>
      <c r="I272" t="n">
        <v>0</v>
      </c>
      <c r="J272" t="n">
        <v>0</v>
      </c>
      <c r="K272" t="n">
        <v>0</v>
      </c>
      <c r="L272" t="n">
        <v>0</v>
      </c>
      <c r="M272" t="n">
        <v>0</v>
      </c>
      <c r="N272" t="n">
        <v>0</v>
      </c>
      <c r="O272" t="n">
        <v>0</v>
      </c>
      <c r="P272" t="n">
        <v>0</v>
      </c>
      <c r="Q272" t="n">
        <v>0</v>
      </c>
      <c r="R272" s="2" t="inlineStr"/>
    </row>
    <row r="273" ht="15" customHeight="1">
      <c r="A273" t="inlineStr">
        <is>
          <t>A 60705-2023</t>
        </is>
      </c>
      <c r="B273" s="1" t="n">
        <v>45260</v>
      </c>
      <c r="C273" s="1" t="n">
        <v>45471</v>
      </c>
      <c r="D273" t="inlineStr">
        <is>
          <t>GÄVLEBORGS LÄN</t>
        </is>
      </c>
      <c r="E273" t="inlineStr">
        <is>
          <t>HOFORS</t>
        </is>
      </c>
      <c r="G273" t="n">
        <v>3.1</v>
      </c>
      <c r="H273" t="n">
        <v>0</v>
      </c>
      <c r="I273" t="n">
        <v>0</v>
      </c>
      <c r="J273" t="n">
        <v>0</v>
      </c>
      <c r="K273" t="n">
        <v>0</v>
      </c>
      <c r="L273" t="n">
        <v>0</v>
      </c>
      <c r="M273" t="n">
        <v>0</v>
      </c>
      <c r="N273" t="n">
        <v>0</v>
      </c>
      <c r="O273" t="n">
        <v>0</v>
      </c>
      <c r="P273" t="n">
        <v>0</v>
      </c>
      <c r="Q273" t="n">
        <v>0</v>
      </c>
      <c r="R273" s="2" t="inlineStr"/>
    </row>
    <row r="274" ht="15" customHeight="1">
      <c r="A274" t="inlineStr">
        <is>
          <t>A 61325-2023</t>
        </is>
      </c>
      <c r="B274" s="1" t="n">
        <v>45264</v>
      </c>
      <c r="C274" s="1" t="n">
        <v>45471</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62293-2023</t>
        </is>
      </c>
      <c r="B275" s="1" t="n">
        <v>45267</v>
      </c>
      <c r="C275" s="1" t="n">
        <v>45471</v>
      </c>
      <c r="D275" t="inlineStr">
        <is>
          <t>GÄVLEBORGS LÄN</t>
        </is>
      </c>
      <c r="E275" t="inlineStr">
        <is>
          <t>HOFORS</t>
        </is>
      </c>
      <c r="G275" t="n">
        <v>1.3</v>
      </c>
      <c r="H275" t="n">
        <v>0</v>
      </c>
      <c r="I275" t="n">
        <v>0</v>
      </c>
      <c r="J275" t="n">
        <v>0</v>
      </c>
      <c r="K275" t="n">
        <v>0</v>
      </c>
      <c r="L275" t="n">
        <v>0</v>
      </c>
      <c r="M275" t="n">
        <v>0</v>
      </c>
      <c r="N275" t="n">
        <v>0</v>
      </c>
      <c r="O275" t="n">
        <v>0</v>
      </c>
      <c r="P275" t="n">
        <v>0</v>
      </c>
      <c r="Q275" t="n">
        <v>0</v>
      </c>
      <c r="R275" s="2" t="inlineStr"/>
    </row>
    <row r="276" ht="15" customHeight="1">
      <c r="A276" t="inlineStr">
        <is>
          <t>A 62567-2023</t>
        </is>
      </c>
      <c r="B276" s="1" t="n">
        <v>45269</v>
      </c>
      <c r="C276" s="1" t="n">
        <v>45471</v>
      </c>
      <c r="D276" t="inlineStr">
        <is>
          <t>GÄVLEBORGS LÄN</t>
        </is>
      </c>
      <c r="E276" t="inlineStr">
        <is>
          <t>HOFORS</t>
        </is>
      </c>
      <c r="G276" t="n">
        <v>4.5</v>
      </c>
      <c r="H276" t="n">
        <v>0</v>
      </c>
      <c r="I276" t="n">
        <v>0</v>
      </c>
      <c r="J276" t="n">
        <v>0</v>
      </c>
      <c r="K276" t="n">
        <v>0</v>
      </c>
      <c r="L276" t="n">
        <v>0</v>
      </c>
      <c r="M276" t="n">
        <v>0</v>
      </c>
      <c r="N276" t="n">
        <v>0</v>
      </c>
      <c r="O276" t="n">
        <v>0</v>
      </c>
      <c r="P276" t="n">
        <v>0</v>
      </c>
      <c r="Q276" t="n">
        <v>0</v>
      </c>
      <c r="R276" s="2" t="inlineStr"/>
    </row>
    <row r="277" ht="15" customHeight="1">
      <c r="A277" t="inlineStr">
        <is>
          <t>A 62596-2023</t>
        </is>
      </c>
      <c r="B277" s="1" t="n">
        <v>45271</v>
      </c>
      <c r="C277" s="1" t="n">
        <v>45471</v>
      </c>
      <c r="D277" t="inlineStr">
        <is>
          <t>GÄVLEBORGS LÄN</t>
        </is>
      </c>
      <c r="E277" t="inlineStr">
        <is>
          <t>HOFORS</t>
        </is>
      </c>
      <c r="G277" t="n">
        <v>3.6</v>
      </c>
      <c r="H277" t="n">
        <v>0</v>
      </c>
      <c r="I277" t="n">
        <v>0</v>
      </c>
      <c r="J277" t="n">
        <v>0</v>
      </c>
      <c r="K277" t="n">
        <v>0</v>
      </c>
      <c r="L277" t="n">
        <v>0</v>
      </c>
      <c r="M277" t="n">
        <v>0</v>
      </c>
      <c r="N277" t="n">
        <v>0</v>
      </c>
      <c r="O277" t="n">
        <v>0</v>
      </c>
      <c r="P277" t="n">
        <v>0</v>
      </c>
      <c r="Q277" t="n">
        <v>0</v>
      </c>
      <c r="R277" s="2" t="inlineStr"/>
    </row>
    <row r="278" ht="15" customHeight="1">
      <c r="A278" t="inlineStr">
        <is>
          <t>A 64359-2023</t>
        </is>
      </c>
      <c r="B278" s="1" t="n">
        <v>45280</v>
      </c>
      <c r="C278" s="1" t="n">
        <v>45471</v>
      </c>
      <c r="D278" t="inlineStr">
        <is>
          <t>GÄVLEBORGS LÄN</t>
        </is>
      </c>
      <c r="E278" t="inlineStr">
        <is>
          <t>HOFORS</t>
        </is>
      </c>
      <c r="G278" t="n">
        <v>4.7</v>
      </c>
      <c r="H278" t="n">
        <v>0</v>
      </c>
      <c r="I278" t="n">
        <v>0</v>
      </c>
      <c r="J278" t="n">
        <v>0</v>
      </c>
      <c r="K278" t="n">
        <v>0</v>
      </c>
      <c r="L278" t="n">
        <v>0</v>
      </c>
      <c r="M278" t="n">
        <v>0</v>
      </c>
      <c r="N278" t="n">
        <v>0</v>
      </c>
      <c r="O278" t="n">
        <v>0</v>
      </c>
      <c r="P278" t="n">
        <v>0</v>
      </c>
      <c r="Q278" t="n">
        <v>0</v>
      </c>
      <c r="R278" s="2" t="inlineStr"/>
    </row>
    <row r="279" ht="15" customHeight="1">
      <c r="A279" t="inlineStr">
        <is>
          <t>A 64629-2023</t>
        </is>
      </c>
      <c r="B279" s="1" t="n">
        <v>45281</v>
      </c>
      <c r="C279" s="1" t="n">
        <v>45471</v>
      </c>
      <c r="D279" t="inlineStr">
        <is>
          <t>GÄVLEBORGS LÄN</t>
        </is>
      </c>
      <c r="E279" t="inlineStr">
        <is>
          <t>HOFORS</t>
        </is>
      </c>
      <c r="G279" t="n">
        <v>5.1</v>
      </c>
      <c r="H279" t="n">
        <v>0</v>
      </c>
      <c r="I279" t="n">
        <v>0</v>
      </c>
      <c r="J279" t="n">
        <v>0</v>
      </c>
      <c r="K279" t="n">
        <v>0</v>
      </c>
      <c r="L279" t="n">
        <v>0</v>
      </c>
      <c r="M279" t="n">
        <v>0</v>
      </c>
      <c r="N279" t="n">
        <v>0</v>
      </c>
      <c r="O279" t="n">
        <v>0</v>
      </c>
      <c r="P279" t="n">
        <v>0</v>
      </c>
      <c r="Q279" t="n">
        <v>0</v>
      </c>
      <c r="R279" s="2" t="inlineStr"/>
    </row>
    <row r="280" ht="15" customHeight="1">
      <c r="A280" t="inlineStr">
        <is>
          <t>A 118-2024</t>
        </is>
      </c>
      <c r="B280" s="1" t="n">
        <v>45294</v>
      </c>
      <c r="C280" s="1" t="n">
        <v>45471</v>
      </c>
      <c r="D280" t="inlineStr">
        <is>
          <t>GÄVLEBORGS LÄN</t>
        </is>
      </c>
      <c r="E280" t="inlineStr">
        <is>
          <t>HOFORS</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127-2024</t>
        </is>
      </c>
      <c r="B281" s="1" t="n">
        <v>45294</v>
      </c>
      <c r="C281" s="1" t="n">
        <v>45471</v>
      </c>
      <c r="D281" t="inlineStr">
        <is>
          <t>GÄVLEBORGS LÄN</t>
        </is>
      </c>
      <c r="E281" t="inlineStr">
        <is>
          <t>HOFORS</t>
        </is>
      </c>
      <c r="F281" t="inlineStr">
        <is>
          <t>Sveaskog</t>
        </is>
      </c>
      <c r="G281" t="n">
        <v>20.4</v>
      </c>
      <c r="H281" t="n">
        <v>0</v>
      </c>
      <c r="I281" t="n">
        <v>0</v>
      </c>
      <c r="J281" t="n">
        <v>0</v>
      </c>
      <c r="K281" t="n">
        <v>0</v>
      </c>
      <c r="L281" t="n">
        <v>0</v>
      </c>
      <c r="M281" t="n">
        <v>0</v>
      </c>
      <c r="N281" t="n">
        <v>0</v>
      </c>
      <c r="O281" t="n">
        <v>0</v>
      </c>
      <c r="P281" t="n">
        <v>0</v>
      </c>
      <c r="Q281" t="n">
        <v>0</v>
      </c>
      <c r="R281" s="2" t="inlineStr"/>
    </row>
    <row r="282" ht="15" customHeight="1">
      <c r="A282" t="inlineStr">
        <is>
          <t>A 1151-2024</t>
        </is>
      </c>
      <c r="B282" s="1" t="n">
        <v>45302</v>
      </c>
      <c r="C282" s="1" t="n">
        <v>45471</v>
      </c>
      <c r="D282" t="inlineStr">
        <is>
          <t>GÄVLEBORGS LÄN</t>
        </is>
      </c>
      <c r="E282" t="inlineStr">
        <is>
          <t>HOFORS</t>
        </is>
      </c>
      <c r="G282" t="n">
        <v>1.3</v>
      </c>
      <c r="H282" t="n">
        <v>0</v>
      </c>
      <c r="I282" t="n">
        <v>0</v>
      </c>
      <c r="J282" t="n">
        <v>0</v>
      </c>
      <c r="K282" t="n">
        <v>0</v>
      </c>
      <c r="L282" t="n">
        <v>0</v>
      </c>
      <c r="M282" t="n">
        <v>0</v>
      </c>
      <c r="N282" t="n">
        <v>0</v>
      </c>
      <c r="O282" t="n">
        <v>0</v>
      </c>
      <c r="P282" t="n">
        <v>0</v>
      </c>
      <c r="Q282" t="n">
        <v>0</v>
      </c>
      <c r="R282" s="2" t="inlineStr"/>
    </row>
    <row r="283" ht="15" customHeight="1">
      <c r="A283" t="inlineStr">
        <is>
          <t>A 1155-2024</t>
        </is>
      </c>
      <c r="B283" s="1" t="n">
        <v>45302</v>
      </c>
      <c r="C283" s="1" t="n">
        <v>45471</v>
      </c>
      <c r="D283" t="inlineStr">
        <is>
          <t>GÄVLEBORGS LÄN</t>
        </is>
      </c>
      <c r="E283" t="inlineStr">
        <is>
          <t>HOFORS</t>
        </is>
      </c>
      <c r="G283" t="n">
        <v>1.9</v>
      </c>
      <c r="H283" t="n">
        <v>0</v>
      </c>
      <c r="I283" t="n">
        <v>0</v>
      </c>
      <c r="J283" t="n">
        <v>0</v>
      </c>
      <c r="K283" t="n">
        <v>0</v>
      </c>
      <c r="L283" t="n">
        <v>0</v>
      </c>
      <c r="M283" t="n">
        <v>0</v>
      </c>
      <c r="N283" t="n">
        <v>0</v>
      </c>
      <c r="O283" t="n">
        <v>0</v>
      </c>
      <c r="P283" t="n">
        <v>0</v>
      </c>
      <c r="Q283" t="n">
        <v>0</v>
      </c>
      <c r="R283" s="2" t="inlineStr"/>
    </row>
    <row r="284" ht="15" customHeight="1">
      <c r="A284" t="inlineStr">
        <is>
          <t>A 1149-2024</t>
        </is>
      </c>
      <c r="B284" s="1" t="n">
        <v>45302</v>
      </c>
      <c r="C284" s="1" t="n">
        <v>45471</v>
      </c>
      <c r="D284" t="inlineStr">
        <is>
          <t>GÄVLEBORGS LÄN</t>
        </is>
      </c>
      <c r="E284" t="inlineStr">
        <is>
          <t>HOFORS</t>
        </is>
      </c>
      <c r="G284" t="n">
        <v>1</v>
      </c>
      <c r="H284" t="n">
        <v>0</v>
      </c>
      <c r="I284" t="n">
        <v>0</v>
      </c>
      <c r="J284" t="n">
        <v>0</v>
      </c>
      <c r="K284" t="n">
        <v>0</v>
      </c>
      <c r="L284" t="n">
        <v>0</v>
      </c>
      <c r="M284" t="n">
        <v>0</v>
      </c>
      <c r="N284" t="n">
        <v>0</v>
      </c>
      <c r="O284" t="n">
        <v>0</v>
      </c>
      <c r="P284" t="n">
        <v>0</v>
      </c>
      <c r="Q284" t="n">
        <v>0</v>
      </c>
      <c r="R284" s="2" t="inlineStr"/>
    </row>
    <row r="285" ht="15" customHeight="1">
      <c r="A285" t="inlineStr">
        <is>
          <t>A 1144-2024</t>
        </is>
      </c>
      <c r="B285" s="1" t="n">
        <v>45302</v>
      </c>
      <c r="C285" s="1" t="n">
        <v>45471</v>
      </c>
      <c r="D285" t="inlineStr">
        <is>
          <t>GÄVLEBORGS LÄN</t>
        </is>
      </c>
      <c r="E285" t="inlineStr">
        <is>
          <t>HOFORS</t>
        </is>
      </c>
      <c r="G285" t="n">
        <v>0.9</v>
      </c>
      <c r="H285" t="n">
        <v>0</v>
      </c>
      <c r="I285" t="n">
        <v>0</v>
      </c>
      <c r="J285" t="n">
        <v>0</v>
      </c>
      <c r="K285" t="n">
        <v>0</v>
      </c>
      <c r="L285" t="n">
        <v>0</v>
      </c>
      <c r="M285" t="n">
        <v>0</v>
      </c>
      <c r="N285" t="n">
        <v>0</v>
      </c>
      <c r="O285" t="n">
        <v>0</v>
      </c>
      <c r="P285" t="n">
        <v>0</v>
      </c>
      <c r="Q285" t="n">
        <v>0</v>
      </c>
      <c r="R285" s="2" t="inlineStr"/>
    </row>
    <row r="286" ht="15" customHeight="1">
      <c r="A286" t="inlineStr">
        <is>
          <t>A 1606-2024</t>
        </is>
      </c>
      <c r="B286" s="1" t="n">
        <v>45306</v>
      </c>
      <c r="C286" s="1" t="n">
        <v>45471</v>
      </c>
      <c r="D286" t="inlineStr">
        <is>
          <t>GÄVLEBORGS LÄN</t>
        </is>
      </c>
      <c r="E286" t="inlineStr">
        <is>
          <t>HOFORS</t>
        </is>
      </c>
      <c r="G286" t="n">
        <v>4.2</v>
      </c>
      <c r="H286" t="n">
        <v>0</v>
      </c>
      <c r="I286" t="n">
        <v>0</v>
      </c>
      <c r="J286" t="n">
        <v>0</v>
      </c>
      <c r="K286" t="n">
        <v>0</v>
      </c>
      <c r="L286" t="n">
        <v>0</v>
      </c>
      <c r="M286" t="n">
        <v>0</v>
      </c>
      <c r="N286" t="n">
        <v>0</v>
      </c>
      <c r="O286" t="n">
        <v>0</v>
      </c>
      <c r="P286" t="n">
        <v>0</v>
      </c>
      <c r="Q286" t="n">
        <v>0</v>
      </c>
      <c r="R286" s="2" t="inlineStr"/>
    </row>
    <row r="287" ht="15" customHeight="1">
      <c r="A287" t="inlineStr">
        <is>
          <t>A 1805-2024</t>
        </is>
      </c>
      <c r="B287" s="1" t="n">
        <v>45307</v>
      </c>
      <c r="C287" s="1" t="n">
        <v>45471</v>
      </c>
      <c r="D287" t="inlineStr">
        <is>
          <t>GÄVLEBORGS LÄN</t>
        </is>
      </c>
      <c r="E287" t="inlineStr">
        <is>
          <t>HOFORS</t>
        </is>
      </c>
      <c r="G287" t="n">
        <v>1.1</v>
      </c>
      <c r="H287" t="n">
        <v>0</v>
      </c>
      <c r="I287" t="n">
        <v>0</v>
      </c>
      <c r="J287" t="n">
        <v>0</v>
      </c>
      <c r="K287" t="n">
        <v>0</v>
      </c>
      <c r="L287" t="n">
        <v>0</v>
      </c>
      <c r="M287" t="n">
        <v>0</v>
      </c>
      <c r="N287" t="n">
        <v>0</v>
      </c>
      <c r="O287" t="n">
        <v>0</v>
      </c>
      <c r="P287" t="n">
        <v>0</v>
      </c>
      <c r="Q287" t="n">
        <v>0</v>
      </c>
      <c r="R287" s="2" t="inlineStr"/>
    </row>
    <row r="288" ht="15" customHeight="1">
      <c r="A288" t="inlineStr">
        <is>
          <t>A 1893-2024</t>
        </is>
      </c>
      <c r="B288" s="1" t="n">
        <v>45308</v>
      </c>
      <c r="C288" s="1" t="n">
        <v>45471</v>
      </c>
      <c r="D288" t="inlineStr">
        <is>
          <t>GÄVLEBORGS LÄN</t>
        </is>
      </c>
      <c r="E288" t="inlineStr">
        <is>
          <t>HOFORS</t>
        </is>
      </c>
      <c r="G288" t="n">
        <v>1</v>
      </c>
      <c r="H288" t="n">
        <v>0</v>
      </c>
      <c r="I288" t="n">
        <v>0</v>
      </c>
      <c r="J288" t="n">
        <v>0</v>
      </c>
      <c r="K288" t="n">
        <v>0</v>
      </c>
      <c r="L288" t="n">
        <v>0</v>
      </c>
      <c r="M288" t="n">
        <v>0</v>
      </c>
      <c r="N288" t="n">
        <v>0</v>
      </c>
      <c r="O288" t="n">
        <v>0</v>
      </c>
      <c r="P288" t="n">
        <v>0</v>
      </c>
      <c r="Q288" t="n">
        <v>0</v>
      </c>
      <c r="R288" s="2" t="inlineStr"/>
    </row>
    <row r="289" ht="15" customHeight="1">
      <c r="A289" t="inlineStr">
        <is>
          <t>A 5554-2024</t>
        </is>
      </c>
      <c r="B289" s="1" t="n">
        <v>45334</v>
      </c>
      <c r="C289" s="1" t="n">
        <v>45471</v>
      </c>
      <c r="D289" t="inlineStr">
        <is>
          <t>GÄVLEBORGS LÄN</t>
        </is>
      </c>
      <c r="E289" t="inlineStr">
        <is>
          <t>HOFORS</t>
        </is>
      </c>
      <c r="G289" t="n">
        <v>1</v>
      </c>
      <c r="H289" t="n">
        <v>0</v>
      </c>
      <c r="I289" t="n">
        <v>0</v>
      </c>
      <c r="J289" t="n">
        <v>0</v>
      </c>
      <c r="K289" t="n">
        <v>0</v>
      </c>
      <c r="L289" t="n">
        <v>0</v>
      </c>
      <c r="M289" t="n">
        <v>0</v>
      </c>
      <c r="N289" t="n">
        <v>0</v>
      </c>
      <c r="O289" t="n">
        <v>0</v>
      </c>
      <c r="P289" t="n">
        <v>0</v>
      </c>
      <c r="Q289" t="n">
        <v>0</v>
      </c>
      <c r="R289" s="2" t="inlineStr"/>
    </row>
    <row r="290" ht="15" customHeight="1">
      <c r="A290" t="inlineStr">
        <is>
          <t>A 6958-2024</t>
        </is>
      </c>
      <c r="B290" s="1" t="n">
        <v>45343</v>
      </c>
      <c r="C290" s="1" t="n">
        <v>45471</v>
      </c>
      <c r="D290" t="inlineStr">
        <is>
          <t>GÄVLEBORGS LÄN</t>
        </is>
      </c>
      <c r="E290" t="inlineStr">
        <is>
          <t>HOFORS</t>
        </is>
      </c>
      <c r="G290" t="n">
        <v>3.4</v>
      </c>
      <c r="H290" t="n">
        <v>0</v>
      </c>
      <c r="I290" t="n">
        <v>0</v>
      </c>
      <c r="J290" t="n">
        <v>0</v>
      </c>
      <c r="K290" t="n">
        <v>0</v>
      </c>
      <c r="L290" t="n">
        <v>0</v>
      </c>
      <c r="M290" t="n">
        <v>0</v>
      </c>
      <c r="N290" t="n">
        <v>0</v>
      </c>
      <c r="O290" t="n">
        <v>0</v>
      </c>
      <c r="P290" t="n">
        <v>0</v>
      </c>
      <c r="Q290" t="n">
        <v>0</v>
      </c>
      <c r="R290" s="2" t="inlineStr"/>
    </row>
    <row r="291" ht="15" customHeight="1">
      <c r="A291" t="inlineStr">
        <is>
          <t>A 6963-2024</t>
        </is>
      </c>
      <c r="B291" s="1" t="n">
        <v>45343</v>
      </c>
      <c r="C291" s="1" t="n">
        <v>45471</v>
      </c>
      <c r="D291" t="inlineStr">
        <is>
          <t>GÄVLEBORGS LÄN</t>
        </is>
      </c>
      <c r="E291" t="inlineStr">
        <is>
          <t>HOFORS</t>
        </is>
      </c>
      <c r="G291" t="n">
        <v>2.4</v>
      </c>
      <c r="H291" t="n">
        <v>0</v>
      </c>
      <c r="I291" t="n">
        <v>0</v>
      </c>
      <c r="J291" t="n">
        <v>0</v>
      </c>
      <c r="K291" t="n">
        <v>0</v>
      </c>
      <c r="L291" t="n">
        <v>0</v>
      </c>
      <c r="M291" t="n">
        <v>0</v>
      </c>
      <c r="N291" t="n">
        <v>0</v>
      </c>
      <c r="O291" t="n">
        <v>0</v>
      </c>
      <c r="P291" t="n">
        <v>0</v>
      </c>
      <c r="Q291" t="n">
        <v>0</v>
      </c>
      <c r="R291" s="2" t="inlineStr"/>
    </row>
    <row r="292" ht="15" customHeight="1">
      <c r="A292" t="inlineStr">
        <is>
          <t>A 7563-2024</t>
        </is>
      </c>
      <c r="B292" s="1" t="n">
        <v>45348</v>
      </c>
      <c r="C292" s="1" t="n">
        <v>45471</v>
      </c>
      <c r="D292" t="inlineStr">
        <is>
          <t>GÄVLEBORGS LÄN</t>
        </is>
      </c>
      <c r="E292" t="inlineStr">
        <is>
          <t>HOFORS</t>
        </is>
      </c>
      <c r="G292" t="n">
        <v>10.8</v>
      </c>
      <c r="H292" t="n">
        <v>0</v>
      </c>
      <c r="I292" t="n">
        <v>0</v>
      </c>
      <c r="J292" t="n">
        <v>0</v>
      </c>
      <c r="K292" t="n">
        <v>0</v>
      </c>
      <c r="L292" t="n">
        <v>0</v>
      </c>
      <c r="M292" t="n">
        <v>0</v>
      </c>
      <c r="N292" t="n">
        <v>0</v>
      </c>
      <c r="O292" t="n">
        <v>0</v>
      </c>
      <c r="P292" t="n">
        <v>0</v>
      </c>
      <c r="Q292" t="n">
        <v>0</v>
      </c>
      <c r="R292" s="2" t="inlineStr"/>
    </row>
    <row r="293" ht="15" customHeight="1">
      <c r="A293" t="inlineStr">
        <is>
          <t>A 7547-2024</t>
        </is>
      </c>
      <c r="B293" s="1" t="n">
        <v>45348</v>
      </c>
      <c r="C293" s="1" t="n">
        <v>45471</v>
      </c>
      <c r="D293" t="inlineStr">
        <is>
          <t>GÄVLEBORGS LÄN</t>
        </is>
      </c>
      <c r="E293" t="inlineStr">
        <is>
          <t>HOFORS</t>
        </is>
      </c>
      <c r="G293" t="n">
        <v>3.8</v>
      </c>
      <c r="H293" t="n">
        <v>0</v>
      </c>
      <c r="I293" t="n">
        <v>0</v>
      </c>
      <c r="J293" t="n">
        <v>0</v>
      </c>
      <c r="K293" t="n">
        <v>0</v>
      </c>
      <c r="L293" t="n">
        <v>0</v>
      </c>
      <c r="M293" t="n">
        <v>0</v>
      </c>
      <c r="N293" t="n">
        <v>0</v>
      </c>
      <c r="O293" t="n">
        <v>0</v>
      </c>
      <c r="P293" t="n">
        <v>0</v>
      </c>
      <c r="Q293" t="n">
        <v>0</v>
      </c>
      <c r="R293" s="2" t="inlineStr"/>
    </row>
    <row r="294" ht="15" customHeight="1">
      <c r="A294" t="inlineStr">
        <is>
          <t>A 11818-2024</t>
        </is>
      </c>
      <c r="B294" s="1" t="n">
        <v>45376</v>
      </c>
      <c r="C294" s="1" t="n">
        <v>45471</v>
      </c>
      <c r="D294" t="inlineStr">
        <is>
          <t>GÄVLEBORGS LÄN</t>
        </is>
      </c>
      <c r="E294" t="inlineStr">
        <is>
          <t>HOFORS</t>
        </is>
      </c>
      <c r="G294" t="n">
        <v>3.8</v>
      </c>
      <c r="H294" t="n">
        <v>0</v>
      </c>
      <c r="I294" t="n">
        <v>0</v>
      </c>
      <c r="J294" t="n">
        <v>0</v>
      </c>
      <c r="K294" t="n">
        <v>0</v>
      </c>
      <c r="L294" t="n">
        <v>0</v>
      </c>
      <c r="M294" t="n">
        <v>0</v>
      </c>
      <c r="N294" t="n">
        <v>0</v>
      </c>
      <c r="O294" t="n">
        <v>0</v>
      </c>
      <c r="P294" t="n">
        <v>0</v>
      </c>
      <c r="Q294" t="n">
        <v>0</v>
      </c>
      <c r="R294" s="2" t="inlineStr"/>
    </row>
    <row r="295" ht="15" customHeight="1">
      <c r="A295" t="inlineStr">
        <is>
          <t>A 11813-2024</t>
        </is>
      </c>
      <c r="B295" s="1" t="n">
        <v>45376</v>
      </c>
      <c r="C295" s="1" t="n">
        <v>45471</v>
      </c>
      <c r="D295" t="inlineStr">
        <is>
          <t>GÄVLEBORGS LÄN</t>
        </is>
      </c>
      <c r="E295" t="inlineStr">
        <is>
          <t>HOFORS</t>
        </is>
      </c>
      <c r="G295" t="n">
        <v>2.3</v>
      </c>
      <c r="H295" t="n">
        <v>0</v>
      </c>
      <c r="I295" t="n">
        <v>0</v>
      </c>
      <c r="J295" t="n">
        <v>0</v>
      </c>
      <c r="K295" t="n">
        <v>0</v>
      </c>
      <c r="L295" t="n">
        <v>0</v>
      </c>
      <c r="M295" t="n">
        <v>0</v>
      </c>
      <c r="N295" t="n">
        <v>0</v>
      </c>
      <c r="O295" t="n">
        <v>0</v>
      </c>
      <c r="P295" t="n">
        <v>0</v>
      </c>
      <c r="Q295" t="n">
        <v>0</v>
      </c>
      <c r="R295" s="2" t="inlineStr"/>
    </row>
    <row r="296" ht="15" customHeight="1">
      <c r="A296" t="inlineStr">
        <is>
          <t>A 13473-2024</t>
        </is>
      </c>
      <c r="B296" s="1" t="n">
        <v>45387</v>
      </c>
      <c r="C296" s="1" t="n">
        <v>45471</v>
      </c>
      <c r="D296" t="inlineStr">
        <is>
          <t>GÄVLEBORGS LÄN</t>
        </is>
      </c>
      <c r="E296" t="inlineStr">
        <is>
          <t>HOFORS</t>
        </is>
      </c>
      <c r="G296" t="n">
        <v>1.8</v>
      </c>
      <c r="H296" t="n">
        <v>0</v>
      </c>
      <c r="I296" t="n">
        <v>0</v>
      </c>
      <c r="J296" t="n">
        <v>0</v>
      </c>
      <c r="K296" t="n">
        <v>0</v>
      </c>
      <c r="L296" t="n">
        <v>0</v>
      </c>
      <c r="M296" t="n">
        <v>0</v>
      </c>
      <c r="N296" t="n">
        <v>0</v>
      </c>
      <c r="O296" t="n">
        <v>0</v>
      </c>
      <c r="P296" t="n">
        <v>0</v>
      </c>
      <c r="Q296" t="n">
        <v>0</v>
      </c>
      <c r="R296" s="2" t="inlineStr"/>
    </row>
    <row r="297" ht="15" customHeight="1">
      <c r="A297" t="inlineStr">
        <is>
          <t>A 13471-2024</t>
        </is>
      </c>
      <c r="B297" s="1" t="n">
        <v>45387</v>
      </c>
      <c r="C297" s="1" t="n">
        <v>45471</v>
      </c>
      <c r="D297" t="inlineStr">
        <is>
          <t>GÄVLEBORGS LÄN</t>
        </is>
      </c>
      <c r="E297" t="inlineStr">
        <is>
          <t>HOFORS</t>
        </is>
      </c>
      <c r="G297" t="n">
        <v>2.9</v>
      </c>
      <c r="H297" t="n">
        <v>0</v>
      </c>
      <c r="I297" t="n">
        <v>0</v>
      </c>
      <c r="J297" t="n">
        <v>0</v>
      </c>
      <c r="K297" t="n">
        <v>0</v>
      </c>
      <c r="L297" t="n">
        <v>0</v>
      </c>
      <c r="M297" t="n">
        <v>0</v>
      </c>
      <c r="N297" t="n">
        <v>0</v>
      </c>
      <c r="O297" t="n">
        <v>0</v>
      </c>
      <c r="P297" t="n">
        <v>0</v>
      </c>
      <c r="Q297" t="n">
        <v>0</v>
      </c>
      <c r="R297" s="2" t="inlineStr"/>
    </row>
    <row r="298" ht="15" customHeight="1">
      <c r="A298" t="inlineStr">
        <is>
          <t>A 15484-2024</t>
        </is>
      </c>
      <c r="B298" s="1" t="n">
        <v>45401</v>
      </c>
      <c r="C298" s="1" t="n">
        <v>45471</v>
      </c>
      <c r="D298" t="inlineStr">
        <is>
          <t>GÄVLEBORGS LÄN</t>
        </is>
      </c>
      <c r="E298" t="inlineStr">
        <is>
          <t>HOFORS</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16137-2024</t>
        </is>
      </c>
      <c r="B299" s="1" t="n">
        <v>45406</v>
      </c>
      <c r="C299" s="1" t="n">
        <v>45471</v>
      </c>
      <c r="D299" t="inlineStr">
        <is>
          <t>GÄVLEBORGS LÄN</t>
        </is>
      </c>
      <c r="E299" t="inlineStr">
        <is>
          <t>HOFORS</t>
        </is>
      </c>
      <c r="G299" t="n">
        <v>6</v>
      </c>
      <c r="H299" t="n">
        <v>0</v>
      </c>
      <c r="I299" t="n">
        <v>0</v>
      </c>
      <c r="J299" t="n">
        <v>0</v>
      </c>
      <c r="K299" t="n">
        <v>0</v>
      </c>
      <c r="L299" t="n">
        <v>0</v>
      </c>
      <c r="M299" t="n">
        <v>0</v>
      </c>
      <c r="N299" t="n">
        <v>0</v>
      </c>
      <c r="O299" t="n">
        <v>0</v>
      </c>
      <c r="P299" t="n">
        <v>0</v>
      </c>
      <c r="Q299" t="n">
        <v>0</v>
      </c>
      <c r="R299" s="2" t="inlineStr"/>
    </row>
    <row r="300" ht="15" customHeight="1">
      <c r="A300" t="inlineStr">
        <is>
          <t>A 16135-2024</t>
        </is>
      </c>
      <c r="B300" s="1" t="n">
        <v>45406</v>
      </c>
      <c r="C300" s="1" t="n">
        <v>45471</v>
      </c>
      <c r="D300" t="inlineStr">
        <is>
          <t>GÄVLEBORGS LÄN</t>
        </is>
      </c>
      <c r="E300" t="inlineStr">
        <is>
          <t>HOFORS</t>
        </is>
      </c>
      <c r="G300" t="n">
        <v>2.4</v>
      </c>
      <c r="H300" t="n">
        <v>0</v>
      </c>
      <c r="I300" t="n">
        <v>0</v>
      </c>
      <c r="J300" t="n">
        <v>0</v>
      </c>
      <c r="K300" t="n">
        <v>0</v>
      </c>
      <c r="L300" t="n">
        <v>0</v>
      </c>
      <c r="M300" t="n">
        <v>0</v>
      </c>
      <c r="N300" t="n">
        <v>0</v>
      </c>
      <c r="O300" t="n">
        <v>0</v>
      </c>
      <c r="P300" t="n">
        <v>0</v>
      </c>
      <c r="Q300" t="n">
        <v>0</v>
      </c>
      <c r="R300" s="2" t="inlineStr"/>
    </row>
    <row r="301" ht="15" customHeight="1">
      <c r="A301" t="inlineStr">
        <is>
          <t>A 16147-2024</t>
        </is>
      </c>
      <c r="B301" s="1" t="n">
        <v>45406</v>
      </c>
      <c r="C301" s="1" t="n">
        <v>45471</v>
      </c>
      <c r="D301" t="inlineStr">
        <is>
          <t>GÄVLEBORGS LÄN</t>
        </is>
      </c>
      <c r="E301" t="inlineStr">
        <is>
          <t>HOFORS</t>
        </is>
      </c>
      <c r="G301" t="n">
        <v>1.4</v>
      </c>
      <c r="H301" t="n">
        <v>0</v>
      </c>
      <c r="I301" t="n">
        <v>0</v>
      </c>
      <c r="J301" t="n">
        <v>0</v>
      </c>
      <c r="K301" t="n">
        <v>0</v>
      </c>
      <c r="L301" t="n">
        <v>0</v>
      </c>
      <c r="M301" t="n">
        <v>0</v>
      </c>
      <c r="N301" t="n">
        <v>0</v>
      </c>
      <c r="O301" t="n">
        <v>0</v>
      </c>
      <c r="P301" t="n">
        <v>0</v>
      </c>
      <c r="Q301" t="n">
        <v>0</v>
      </c>
      <c r="R301" s="2" t="inlineStr"/>
    </row>
    <row r="302" ht="15" customHeight="1">
      <c r="A302" t="inlineStr">
        <is>
          <t>A 18709-2024</t>
        </is>
      </c>
      <c r="B302" s="1" t="n">
        <v>45426</v>
      </c>
      <c r="C302" s="1" t="n">
        <v>45471</v>
      </c>
      <c r="D302" t="inlineStr">
        <is>
          <t>GÄVLEBORGS LÄN</t>
        </is>
      </c>
      <c r="E302" t="inlineStr">
        <is>
          <t>HOFORS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18963-2024</t>
        </is>
      </c>
      <c r="B303" s="1" t="n">
        <v>45427</v>
      </c>
      <c r="C303" s="1" t="n">
        <v>45471</v>
      </c>
      <c r="D303" t="inlineStr">
        <is>
          <t>GÄVLEBORGS LÄN</t>
        </is>
      </c>
      <c r="E303" t="inlineStr">
        <is>
          <t>HOFORS</t>
        </is>
      </c>
      <c r="G303" t="n">
        <v>1.6</v>
      </c>
      <c r="H303" t="n">
        <v>0</v>
      </c>
      <c r="I303" t="n">
        <v>0</v>
      </c>
      <c r="J303" t="n">
        <v>0</v>
      </c>
      <c r="K303" t="n">
        <v>0</v>
      </c>
      <c r="L303" t="n">
        <v>0</v>
      </c>
      <c r="M303" t="n">
        <v>0</v>
      </c>
      <c r="N303" t="n">
        <v>0</v>
      </c>
      <c r="O303" t="n">
        <v>0</v>
      </c>
      <c r="P303" t="n">
        <v>0</v>
      </c>
      <c r="Q303" t="n">
        <v>0</v>
      </c>
      <c r="R303" s="2" t="inlineStr"/>
    </row>
    <row r="304" ht="15" customHeight="1">
      <c r="A304" t="inlineStr">
        <is>
          <t>A 20191-2024</t>
        </is>
      </c>
      <c r="B304" s="1" t="n">
        <v>45434</v>
      </c>
      <c r="C304" s="1" t="n">
        <v>45471</v>
      </c>
      <c r="D304" t="inlineStr">
        <is>
          <t>GÄVLEBORGS LÄN</t>
        </is>
      </c>
      <c r="E304" t="inlineStr">
        <is>
          <t>HOFORS</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21019-2024</t>
        </is>
      </c>
      <c r="B305" s="1" t="n">
        <v>45439</v>
      </c>
      <c r="C305" s="1" t="n">
        <v>45471</v>
      </c>
      <c r="D305" t="inlineStr">
        <is>
          <t>GÄVLEBORGS LÄN</t>
        </is>
      </c>
      <c r="E305" t="inlineStr">
        <is>
          <t>HOFORS</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21027-2024</t>
        </is>
      </c>
      <c r="B306" s="1" t="n">
        <v>45439</v>
      </c>
      <c r="C306" s="1" t="n">
        <v>45471</v>
      </c>
      <c r="D306" t="inlineStr">
        <is>
          <t>GÄVLEBORGS LÄN</t>
        </is>
      </c>
      <c r="E306" t="inlineStr">
        <is>
          <t>HOFORS</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21039-2024</t>
        </is>
      </c>
      <c r="B307" s="1" t="n">
        <v>45439</v>
      </c>
      <c r="C307" s="1" t="n">
        <v>45471</v>
      </c>
      <c r="D307" t="inlineStr">
        <is>
          <t>GÄVLEBORGS LÄN</t>
        </is>
      </c>
      <c r="E307" t="inlineStr">
        <is>
          <t>HOFORS</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21028-2024</t>
        </is>
      </c>
      <c r="B308" s="1" t="n">
        <v>45439</v>
      </c>
      <c r="C308" s="1" t="n">
        <v>45471</v>
      </c>
      <c r="D308" t="inlineStr">
        <is>
          <t>GÄVLEBORGS LÄN</t>
        </is>
      </c>
      <c r="E308" t="inlineStr">
        <is>
          <t>HOFORS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21254-2024</t>
        </is>
      </c>
      <c r="B309" s="1" t="n">
        <v>45440</v>
      </c>
      <c r="C309" s="1" t="n">
        <v>45471</v>
      </c>
      <c r="D309" t="inlineStr">
        <is>
          <t>GÄVLEBORGS LÄN</t>
        </is>
      </c>
      <c r="E309" t="inlineStr">
        <is>
          <t>HOFORS</t>
        </is>
      </c>
      <c r="G309" t="n">
        <v>4.3</v>
      </c>
      <c r="H309" t="n">
        <v>0</v>
      </c>
      <c r="I309" t="n">
        <v>0</v>
      </c>
      <c r="J309" t="n">
        <v>0</v>
      </c>
      <c r="K309" t="n">
        <v>0</v>
      </c>
      <c r="L309" t="n">
        <v>0</v>
      </c>
      <c r="M309" t="n">
        <v>0</v>
      </c>
      <c r="N309" t="n">
        <v>0</v>
      </c>
      <c r="O309" t="n">
        <v>0</v>
      </c>
      <c r="P309" t="n">
        <v>0</v>
      </c>
      <c r="Q309" t="n">
        <v>0</v>
      </c>
      <c r="R309" s="2" t="inlineStr"/>
    </row>
    <row r="310" ht="15" customHeight="1">
      <c r="A310" t="inlineStr">
        <is>
          <t>A 21751-2024</t>
        </is>
      </c>
      <c r="B310" s="1" t="n">
        <v>45442</v>
      </c>
      <c r="C310" s="1" t="n">
        <v>45471</v>
      </c>
      <c r="D310" t="inlineStr">
        <is>
          <t>GÄVLEBORGS LÄN</t>
        </is>
      </c>
      <c r="E310" t="inlineStr">
        <is>
          <t>HOFORS</t>
        </is>
      </c>
      <c r="G310" t="n">
        <v>4.1</v>
      </c>
      <c r="H310" t="n">
        <v>0</v>
      </c>
      <c r="I310" t="n">
        <v>0</v>
      </c>
      <c r="J310" t="n">
        <v>0</v>
      </c>
      <c r="K310" t="n">
        <v>0</v>
      </c>
      <c r="L310" t="n">
        <v>0</v>
      </c>
      <c r="M310" t="n">
        <v>0</v>
      </c>
      <c r="N310" t="n">
        <v>0</v>
      </c>
      <c r="O310" t="n">
        <v>0</v>
      </c>
      <c r="P310" t="n">
        <v>0</v>
      </c>
      <c r="Q310" t="n">
        <v>0</v>
      </c>
      <c r="R310" s="2" t="inlineStr"/>
    </row>
    <row r="311" ht="15" customHeight="1">
      <c r="A311" t="inlineStr">
        <is>
          <t>A 21750-2024</t>
        </is>
      </c>
      <c r="B311" s="1" t="n">
        <v>45442</v>
      </c>
      <c r="C311" s="1" t="n">
        <v>45471</v>
      </c>
      <c r="D311" t="inlineStr">
        <is>
          <t>GÄVLEBORGS LÄN</t>
        </is>
      </c>
      <c r="E311" t="inlineStr">
        <is>
          <t>HOFORS</t>
        </is>
      </c>
      <c r="G311" t="n">
        <v>3.7</v>
      </c>
      <c r="H311" t="n">
        <v>0</v>
      </c>
      <c r="I311" t="n">
        <v>0</v>
      </c>
      <c r="J311" t="n">
        <v>0</v>
      </c>
      <c r="K311" t="n">
        <v>0</v>
      </c>
      <c r="L311" t="n">
        <v>0</v>
      </c>
      <c r="M311" t="n">
        <v>0</v>
      </c>
      <c r="N311" t="n">
        <v>0</v>
      </c>
      <c r="O311" t="n">
        <v>0</v>
      </c>
      <c r="P311" t="n">
        <v>0</v>
      </c>
      <c r="Q311" t="n">
        <v>0</v>
      </c>
      <c r="R311" s="2" t="inlineStr"/>
    </row>
    <row r="312" ht="15" customHeight="1">
      <c r="A312" t="inlineStr">
        <is>
          <t>A 21958-2024</t>
        </is>
      </c>
      <c r="B312" s="1" t="n">
        <v>45443</v>
      </c>
      <c r="C312" s="1" t="n">
        <v>45471</v>
      </c>
      <c r="D312" t="inlineStr">
        <is>
          <t>GÄVLEBORGS LÄN</t>
        </is>
      </c>
      <c r="E312" t="inlineStr">
        <is>
          <t>HOFORS</t>
        </is>
      </c>
      <c r="G312" t="n">
        <v>6.1</v>
      </c>
      <c r="H312" t="n">
        <v>0</v>
      </c>
      <c r="I312" t="n">
        <v>0</v>
      </c>
      <c r="J312" t="n">
        <v>0</v>
      </c>
      <c r="K312" t="n">
        <v>0</v>
      </c>
      <c r="L312" t="n">
        <v>0</v>
      </c>
      <c r="M312" t="n">
        <v>0</v>
      </c>
      <c r="N312" t="n">
        <v>0</v>
      </c>
      <c r="O312" t="n">
        <v>0</v>
      </c>
      <c r="P312" t="n">
        <v>0</v>
      </c>
      <c r="Q312" t="n">
        <v>0</v>
      </c>
      <c r="R312" s="2" t="inlineStr"/>
    </row>
    <row r="313" ht="15" customHeight="1">
      <c r="A313" t="inlineStr">
        <is>
          <t>A 22226-2024</t>
        </is>
      </c>
      <c r="B313" s="1" t="n">
        <v>45446</v>
      </c>
      <c r="C313" s="1" t="n">
        <v>45471</v>
      </c>
      <c r="D313" t="inlineStr">
        <is>
          <t>GÄVLEBORGS LÄN</t>
        </is>
      </c>
      <c r="E313" t="inlineStr">
        <is>
          <t>HOFORS</t>
        </is>
      </c>
      <c r="G313" t="n">
        <v>0.6</v>
      </c>
      <c r="H313" t="n">
        <v>0</v>
      </c>
      <c r="I313" t="n">
        <v>0</v>
      </c>
      <c r="J313" t="n">
        <v>0</v>
      </c>
      <c r="K313" t="n">
        <v>0</v>
      </c>
      <c r="L313" t="n">
        <v>0</v>
      </c>
      <c r="M313" t="n">
        <v>0</v>
      </c>
      <c r="N313" t="n">
        <v>0</v>
      </c>
      <c r="O313" t="n">
        <v>0</v>
      </c>
      <c r="P313" t="n">
        <v>0</v>
      </c>
      <c r="Q313" t="n">
        <v>0</v>
      </c>
      <c r="R313" s="2" t="inlineStr"/>
    </row>
    <row r="314" ht="15" customHeight="1">
      <c r="A314" t="inlineStr">
        <is>
          <t>A 22530-2024</t>
        </is>
      </c>
      <c r="B314" s="1" t="n">
        <v>45447</v>
      </c>
      <c r="C314" s="1" t="n">
        <v>45471</v>
      </c>
      <c r="D314" t="inlineStr">
        <is>
          <t>GÄVLEBORGS LÄN</t>
        </is>
      </c>
      <c r="E314" t="inlineStr">
        <is>
          <t>HOFORS</t>
        </is>
      </c>
      <c r="G314" t="n">
        <v>1.3</v>
      </c>
      <c r="H314" t="n">
        <v>0</v>
      </c>
      <c r="I314" t="n">
        <v>0</v>
      </c>
      <c r="J314" t="n">
        <v>0</v>
      </c>
      <c r="K314" t="n">
        <v>0</v>
      </c>
      <c r="L314" t="n">
        <v>0</v>
      </c>
      <c r="M314" t="n">
        <v>0</v>
      </c>
      <c r="N314" t="n">
        <v>0</v>
      </c>
      <c r="O314" t="n">
        <v>0</v>
      </c>
      <c r="P314" t="n">
        <v>0</v>
      </c>
      <c r="Q314" t="n">
        <v>0</v>
      </c>
      <c r="R314" s="2" t="inlineStr"/>
    </row>
    <row r="315" ht="15" customHeight="1">
      <c r="A315" t="inlineStr">
        <is>
          <t>A 23376-2024</t>
        </is>
      </c>
      <c r="B315" s="1" t="n">
        <v>45453</v>
      </c>
      <c r="C315" s="1" t="n">
        <v>45471</v>
      </c>
      <c r="D315" t="inlineStr">
        <is>
          <t>GÄVLEBORGS LÄN</t>
        </is>
      </c>
      <c r="E315" t="inlineStr">
        <is>
          <t>HOFORS</t>
        </is>
      </c>
      <c r="F315" t="inlineStr">
        <is>
          <t>Sveaskog</t>
        </is>
      </c>
      <c r="G315" t="n">
        <v>10.8</v>
      </c>
      <c r="H315" t="n">
        <v>0</v>
      </c>
      <c r="I315" t="n">
        <v>0</v>
      </c>
      <c r="J315" t="n">
        <v>0</v>
      </c>
      <c r="K315" t="n">
        <v>0</v>
      </c>
      <c r="L315" t="n">
        <v>0</v>
      </c>
      <c r="M315" t="n">
        <v>0</v>
      </c>
      <c r="N315" t="n">
        <v>0</v>
      </c>
      <c r="O315" t="n">
        <v>0</v>
      </c>
      <c r="P315" t="n">
        <v>0</v>
      </c>
      <c r="Q315" t="n">
        <v>0</v>
      </c>
      <c r="R315" s="2" t="inlineStr"/>
    </row>
    <row r="316" ht="15" customHeight="1">
      <c r="A316" t="inlineStr">
        <is>
          <t>A 23355-2024</t>
        </is>
      </c>
      <c r="B316" s="1" t="n">
        <v>45453</v>
      </c>
      <c r="C316" s="1" t="n">
        <v>45471</v>
      </c>
      <c r="D316" t="inlineStr">
        <is>
          <t>GÄVLEBORGS LÄN</t>
        </is>
      </c>
      <c r="E316" t="inlineStr">
        <is>
          <t>HOFORS</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23891-2024</t>
        </is>
      </c>
      <c r="B317" s="1" t="n">
        <v>45455</v>
      </c>
      <c r="C317" s="1" t="n">
        <v>45471</v>
      </c>
      <c r="D317" t="inlineStr">
        <is>
          <t>GÄVLEBORGS LÄN</t>
        </is>
      </c>
      <c r="E317" t="inlineStr">
        <is>
          <t>HOFORS</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24008-2024</t>
        </is>
      </c>
      <c r="B318" s="1" t="n">
        <v>45456</v>
      </c>
      <c r="C318" s="1" t="n">
        <v>45471</v>
      </c>
      <c r="D318" t="inlineStr">
        <is>
          <t>GÄVLEBORGS LÄN</t>
        </is>
      </c>
      <c r="E318" t="inlineStr">
        <is>
          <t>HOFORS</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25476-2024</t>
        </is>
      </c>
      <c r="B319" s="1" t="n">
        <v>45463</v>
      </c>
      <c r="C319" s="1" t="n">
        <v>45471</v>
      </c>
      <c r="D319" t="inlineStr">
        <is>
          <t>GÄVLEBORGS LÄN</t>
        </is>
      </c>
      <c r="E319" t="inlineStr">
        <is>
          <t>HOFORS</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25474-2024</t>
        </is>
      </c>
      <c r="B320" s="1" t="n">
        <v>45463</v>
      </c>
      <c r="C320" s="1" t="n">
        <v>45471</v>
      </c>
      <c r="D320" t="inlineStr">
        <is>
          <t>GÄVLEBORGS LÄN</t>
        </is>
      </c>
      <c r="E320" t="inlineStr">
        <is>
          <t>HOFORS</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25465-2024</t>
        </is>
      </c>
      <c r="B321" s="1" t="n">
        <v>45463</v>
      </c>
      <c r="C321" s="1" t="n">
        <v>45471</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25477-2024</t>
        </is>
      </c>
      <c r="B322" s="1" t="n">
        <v>45463</v>
      </c>
      <c r="C322" s="1" t="n">
        <v>45471</v>
      </c>
      <c r="D322" t="inlineStr">
        <is>
          <t>GÄVLEBORGS LÄN</t>
        </is>
      </c>
      <c r="E322" t="inlineStr">
        <is>
          <t>HOFORS</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26308-2024</t>
        </is>
      </c>
      <c r="B323" s="1" t="n">
        <v>45469</v>
      </c>
      <c r="C323" s="1" t="n">
        <v>45471</v>
      </c>
      <c r="D323" t="inlineStr">
        <is>
          <t>GÄVLEBORGS LÄN</t>
        </is>
      </c>
      <c r="E323" t="inlineStr">
        <is>
          <t>HOFORS</t>
        </is>
      </c>
      <c r="G323" t="n">
        <v>5.3</v>
      </c>
      <c r="H323" t="n">
        <v>0</v>
      </c>
      <c r="I323" t="n">
        <v>0</v>
      </c>
      <c r="J323" t="n">
        <v>0</v>
      </c>
      <c r="K323" t="n">
        <v>0</v>
      </c>
      <c r="L323" t="n">
        <v>0</v>
      </c>
      <c r="M323" t="n">
        <v>0</v>
      </c>
      <c r="N323" t="n">
        <v>0</v>
      </c>
      <c r="O323" t="n">
        <v>0</v>
      </c>
      <c r="P323" t="n">
        <v>0</v>
      </c>
      <c r="Q323" t="n">
        <v>0</v>
      </c>
      <c r="R323" s="2" t="inlineStr"/>
    </row>
    <row r="324" ht="15" customHeight="1">
      <c r="A324" t="inlineStr">
        <is>
          <t>A 26306-2024</t>
        </is>
      </c>
      <c r="B324" s="1" t="n">
        <v>45469</v>
      </c>
      <c r="C324" s="1" t="n">
        <v>45471</v>
      </c>
      <c r="D324" t="inlineStr">
        <is>
          <t>GÄVLEBORGS LÄN</t>
        </is>
      </c>
      <c r="E324" t="inlineStr">
        <is>
          <t>HOFORS</t>
        </is>
      </c>
      <c r="G324" t="n">
        <v>3.8</v>
      </c>
      <c r="H324" t="n">
        <v>0</v>
      </c>
      <c r="I324" t="n">
        <v>0</v>
      </c>
      <c r="J324" t="n">
        <v>0</v>
      </c>
      <c r="K324" t="n">
        <v>0</v>
      </c>
      <c r="L324" t="n">
        <v>0</v>
      </c>
      <c r="M324" t="n">
        <v>0</v>
      </c>
      <c r="N324" t="n">
        <v>0</v>
      </c>
      <c r="O324" t="n">
        <v>0</v>
      </c>
      <c r="P324" t="n">
        <v>0</v>
      </c>
      <c r="Q324" t="n">
        <v>0</v>
      </c>
      <c r="R324" s="2" t="inlineStr"/>
    </row>
    <row r="325">
      <c r="A325" t="inlineStr">
        <is>
          <t>A 26307-2024</t>
        </is>
      </c>
      <c r="B325" s="1" t="n">
        <v>45469</v>
      </c>
      <c r="C325" s="1" t="n">
        <v>45471</v>
      </c>
      <c r="D325" t="inlineStr">
        <is>
          <t>GÄVLEBORGS LÄN</t>
        </is>
      </c>
      <c r="E325" t="inlineStr">
        <is>
          <t>HOFORS</t>
        </is>
      </c>
      <c r="G325" t="n">
        <v>4.2</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2024-06-28T10:06:39Z</dcterms:created>
  <dcterms:modified xmlns:dcterms="http://purl.org/dc/terms/" xmlns:xsi="http://www.w3.org/2001/XMLSchema-instance" xsi:type="dcterms:W3CDTF">2024-06-28T10:06:39Z</dcterms:modified>
</cp:coreProperties>
</file>