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46066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46066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46066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46066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46066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46066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46066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46066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46066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46066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46066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46066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46066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46066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46066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46066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46066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46066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46066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46066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46066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46066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46066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46066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46066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46066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46066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46066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46066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48702-2025</t>
        </is>
      </c>
      <c r="B33" s="1" t="n">
        <v>45936.62197916667</v>
      </c>
      <c r="C33" s="1" t="n">
        <v>46066</v>
      </c>
      <c r="D33" t="inlineStr">
        <is>
          <t>GÄVLEBORGS LÄN</t>
        </is>
      </c>
      <c r="E33" t="inlineStr">
        <is>
          <t>HOFORS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48702-2025 artfynd.xlsx", "A 48702-2025")</f>
        <v/>
      </c>
      <c r="T33">
        <f>HYPERLINK("https://klasma.github.io/Logging_2104/kartor/A 48702-2025 karta.png", "A 48702-2025")</f>
        <v/>
      </c>
      <c r="U33">
        <f>HYPERLINK("https://klasma.github.io/Logging_2104/knärot/A 48702-2025 karta knärot.png", "A 48702-2025")</f>
        <v/>
      </c>
      <c r="V33">
        <f>HYPERLINK("https://klasma.github.io/Logging_2104/klagomål/A 48702-2025 FSC-klagomål.docx", "A 48702-2025")</f>
        <v/>
      </c>
      <c r="W33">
        <f>HYPERLINK("https://klasma.github.io/Logging_2104/klagomålsmail/A 48702-2025 FSC-klagomål mail.docx", "A 48702-2025")</f>
        <v/>
      </c>
      <c r="X33">
        <f>HYPERLINK("https://klasma.github.io/Logging_2104/tillsyn/A 48702-2025 tillsynsbegäran.docx", "A 48702-2025")</f>
        <v/>
      </c>
      <c r="Y33">
        <f>HYPERLINK("https://klasma.github.io/Logging_2104/tillsynsmail/A 48702-2025 tillsynsbegäran mail.docx", "A 48702-2025")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46066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46066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46066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33298-2023</t>
        </is>
      </c>
      <c r="B37" s="1" t="n">
        <v>45127</v>
      </c>
      <c r="C37" s="1" t="n">
        <v>46066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HYPERLINK("https://klasma.github.io/Logging_2104/artfynd/A 33298-2023 artfynd.xlsx", "A 33298-2023")</f>
        <v/>
      </c>
      <c r="T37">
        <f>HYPERLINK("https://klasma.github.io/Logging_2104/kartor/A 33298-2023 karta.png", "A 33298-2023")</f>
        <v/>
      </c>
      <c r="V37">
        <f>HYPERLINK("https://klasma.github.io/Logging_2104/klagomål/A 33298-2023 FSC-klagomål.docx", "A 33298-2023")</f>
        <v/>
      </c>
      <c r="W37">
        <f>HYPERLINK("https://klasma.github.io/Logging_2104/klagomålsmail/A 33298-2023 FSC-klagomål mail.docx", "A 33298-2023")</f>
        <v/>
      </c>
      <c r="X37">
        <f>HYPERLINK("https://klasma.github.io/Logging_2104/tillsyn/A 33298-2023 tillsynsbegäran.docx", "A 33298-2023")</f>
        <v/>
      </c>
      <c r="Y37">
        <f>HYPERLINK("https://klasma.github.io/Logging_2104/tillsynsmail/A 33298-2023 tillsynsbegäran mail.docx", "A 33298-2023")</f>
        <v/>
      </c>
    </row>
    <row r="38" ht="15" customHeight="1">
      <c r="A38" t="inlineStr">
        <is>
          <t>A 35521-2024</t>
        </is>
      </c>
      <c r="B38" s="1" t="n">
        <v>45531.57493055556</v>
      </c>
      <c r="C38" s="1" t="n">
        <v>46066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HYPERLINK("https://klasma.github.io/Logging_2104/artfynd/A 35521-2024 artfynd.xlsx", "A 35521-2024")</f>
        <v/>
      </c>
      <c r="T38">
        <f>HYPERLINK("https://klasma.github.io/Logging_2104/kartor/A 35521-2024 karta.png", "A 35521-2024")</f>
        <v/>
      </c>
      <c r="V38">
        <f>HYPERLINK("https://klasma.github.io/Logging_2104/klagomål/A 35521-2024 FSC-klagomål.docx", "A 35521-2024")</f>
        <v/>
      </c>
      <c r="W38">
        <f>HYPERLINK("https://klasma.github.io/Logging_2104/klagomålsmail/A 35521-2024 FSC-klagomål mail.docx", "A 35521-2024")</f>
        <v/>
      </c>
      <c r="X38">
        <f>HYPERLINK("https://klasma.github.io/Logging_2104/tillsyn/A 35521-2024 tillsynsbegäran.docx", "A 35521-2024")</f>
        <v/>
      </c>
      <c r="Y38">
        <f>HYPERLINK("https://klasma.github.io/Logging_2104/tillsynsmail/A 35521-2024 tillsynsbegäran mail.docx", "A 35521-2024")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46066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21029-2024</t>
        </is>
      </c>
      <c r="B40" s="1" t="n">
        <v>45439.6528125</v>
      </c>
      <c r="C40" s="1" t="n">
        <v>46066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HYPERLINK("https://klasma.github.io/Logging_2104/artfynd/A 21029-2024 artfynd.xlsx", "A 21029-2024")</f>
        <v/>
      </c>
      <c r="T40">
        <f>HYPERLINK("https://klasma.github.io/Logging_2104/kartor/A 21029-2024 karta.png", "A 21029-2024")</f>
        <v/>
      </c>
      <c r="U40">
        <f>HYPERLINK("https://klasma.github.io/Logging_2104/knärot/A 21029-2024 karta knärot.png", "A 21029-2024")</f>
        <v/>
      </c>
      <c r="V40">
        <f>HYPERLINK("https://klasma.github.io/Logging_2104/klagomål/A 21029-2024 FSC-klagomål.docx", "A 21029-2024")</f>
        <v/>
      </c>
      <c r="W40">
        <f>HYPERLINK("https://klasma.github.io/Logging_2104/klagomålsmail/A 21029-2024 FSC-klagomål mail.docx", "A 21029-2024")</f>
        <v/>
      </c>
      <c r="X40">
        <f>HYPERLINK("https://klasma.github.io/Logging_2104/tillsyn/A 21029-2024 tillsynsbegäran.docx", "A 21029-2024")</f>
        <v/>
      </c>
      <c r="Y40">
        <f>HYPERLINK("https://klasma.github.io/Logging_2104/tillsynsmail/A 21029-2024 tillsynsbegäran mail.docx", "A 21029-2024")</f>
        <v/>
      </c>
    </row>
    <row r="41" ht="15" customHeight="1">
      <c r="A41" t="inlineStr">
        <is>
          <t>A 47219-2024</t>
        </is>
      </c>
      <c r="B41" s="1" t="n">
        <v>45586</v>
      </c>
      <c r="C41" s="1" t="n">
        <v>46066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47219-2024 artfynd.xlsx", "A 47219-2024")</f>
        <v/>
      </c>
      <c r="T41">
        <f>HYPERLINK("https://klasma.github.io/Logging_2104/kartor/A 47219-2024 karta.png", "A 47219-2024")</f>
        <v/>
      </c>
      <c r="V41">
        <f>HYPERLINK("https://klasma.github.io/Logging_2104/klagomål/A 47219-2024 FSC-klagomål.docx", "A 47219-2024")</f>
        <v/>
      </c>
      <c r="W41">
        <f>HYPERLINK("https://klasma.github.io/Logging_2104/klagomålsmail/A 47219-2024 FSC-klagomål mail.docx", "A 47219-2024")</f>
        <v/>
      </c>
      <c r="X41">
        <f>HYPERLINK("https://klasma.github.io/Logging_2104/tillsyn/A 47219-2024 tillsynsbegäran.docx", "A 47219-2024")</f>
        <v/>
      </c>
      <c r="Y41">
        <f>HYPERLINK("https://klasma.github.io/Logging_2104/tillsynsmail/A 47219-2024 tillsynsbegäran mail.docx", "A 47219-2024")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46066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46066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46066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46066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46066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46066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46066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46066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46066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46066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46066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46066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46066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46066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17179-2025</t>
        </is>
      </c>
      <c r="B56" s="1" t="n">
        <v>45755</v>
      </c>
      <c r="C56" s="1" t="n">
        <v>46066</v>
      </c>
      <c r="D56" t="inlineStr">
        <is>
          <t>GÄVLEBORGS LÄN</t>
        </is>
      </c>
      <c r="E56" t="inlineStr">
        <is>
          <t>HOFORS</t>
        </is>
      </c>
      <c r="F56" t="inlineStr">
        <is>
          <t>Bergvik skog väst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35498-2024</t>
        </is>
      </c>
      <c r="B57" s="1" t="n">
        <v>45531.51796296296</v>
      </c>
      <c r="C57" s="1" t="n">
        <v>46066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24851-2021</t>
        </is>
      </c>
      <c r="B58" s="1" t="n">
        <v>44340</v>
      </c>
      <c r="C58" s="1" t="n">
        <v>46066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46066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46066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46066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46066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58369-2023</t>
        </is>
      </c>
      <c r="B63" s="1" t="n">
        <v>45250</v>
      </c>
      <c r="C63" s="1" t="n">
        <v>46066</v>
      </c>
      <c r="D63" t="inlineStr">
        <is>
          <t>GÄVLEBORGS LÄN</t>
        </is>
      </c>
      <c r="E63" t="inlineStr">
        <is>
          <t>HOFORS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28391-2024</t>
        </is>
      </c>
      <c r="B64" s="1" t="n">
        <v>45477.60254629629</v>
      </c>
      <c r="C64" s="1" t="n">
        <v>46066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33296-2023</t>
        </is>
      </c>
      <c r="B65" s="1" t="n">
        <v>45127.69603009259</v>
      </c>
      <c r="C65" s="1" t="n">
        <v>46066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4032-2025</t>
        </is>
      </c>
      <c r="B66" s="1" t="n">
        <v>45684</v>
      </c>
      <c r="C66" s="1" t="n">
        <v>46066</v>
      </c>
      <c r="D66" t="inlineStr">
        <is>
          <t>GÄVLEBORGS LÄN</t>
        </is>
      </c>
      <c r="E66" t="inlineStr">
        <is>
          <t>HOFORS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51337-2023</t>
        </is>
      </c>
      <c r="B67" s="1" t="n">
        <v>45219.59144675926</v>
      </c>
      <c r="C67" s="1" t="n">
        <v>46066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7209-2026</t>
        </is>
      </c>
      <c r="B68" s="1" t="n">
        <v>46058.53673611111</v>
      </c>
      <c r="C68" s="1" t="n">
        <v>46066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7210-2026</t>
        </is>
      </c>
      <c r="B69" s="1" t="n">
        <v>46058.53807870371</v>
      </c>
      <c r="C69" s="1" t="n">
        <v>46066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7207-2026</t>
        </is>
      </c>
      <c r="B70" s="1" t="n">
        <v>46058.53497685185</v>
      </c>
      <c r="C70" s="1" t="n">
        <v>46066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54149-2023</t>
        </is>
      </c>
      <c r="B71" s="1" t="n">
        <v>45232.4528125</v>
      </c>
      <c r="C71" s="1" t="n">
        <v>46066</v>
      </c>
      <c r="D71" t="inlineStr">
        <is>
          <t>GÄVLEBORGS LÄN</t>
        </is>
      </c>
      <c r="E71" t="inlineStr">
        <is>
          <t>HOFORS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24395-2025</t>
        </is>
      </c>
      <c r="B72" s="1" t="n">
        <v>45797.63881944444</v>
      </c>
      <c r="C72" s="1" t="n">
        <v>46066</v>
      </c>
      <c r="D72" t="inlineStr">
        <is>
          <t>GÄVLEBORGS LÄN</t>
        </is>
      </c>
      <c r="E72" t="inlineStr">
        <is>
          <t>HOFORS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37743-2022</t>
        </is>
      </c>
      <c r="B73" s="1" t="n">
        <v>44810.58275462963</v>
      </c>
      <c r="C73" s="1" t="n">
        <v>46066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11813-2024</t>
        </is>
      </c>
      <c r="B74" s="1" t="n">
        <v>45376.30138888889</v>
      </c>
      <c r="C74" s="1" t="n">
        <v>46066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33981-2024</t>
        </is>
      </c>
      <c r="B75" s="1" t="n">
        <v>45523.52111111111</v>
      </c>
      <c r="C75" s="1" t="n">
        <v>46066</v>
      </c>
      <c r="D75" t="inlineStr">
        <is>
          <t>GÄVLEBORGS LÄN</t>
        </is>
      </c>
      <c r="E75" t="inlineStr">
        <is>
          <t>HOFORS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64000-2025</t>
        </is>
      </c>
      <c r="B76" s="1" t="n">
        <v>46021.39847222222</v>
      </c>
      <c r="C76" s="1" t="n">
        <v>46066</v>
      </c>
      <c r="D76" t="inlineStr">
        <is>
          <t>GÄVLEBORGS LÄN</t>
        </is>
      </c>
      <c r="E76" t="inlineStr">
        <is>
          <t>HOFORS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59615-2023</t>
        </is>
      </c>
      <c r="B77" s="1" t="n">
        <v>45254</v>
      </c>
      <c r="C77" s="1" t="n">
        <v>46066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53517-2024</t>
        </is>
      </c>
      <c r="B78" s="1" t="n">
        <v>45614.60436342593</v>
      </c>
      <c r="C78" s="1" t="n">
        <v>46066</v>
      </c>
      <c r="D78" t="inlineStr">
        <is>
          <t>GÄVLEBORGS LÄN</t>
        </is>
      </c>
      <c r="E78" t="inlineStr">
        <is>
          <t>HOFORS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64036-2025</t>
        </is>
      </c>
      <c r="B79" s="1" t="n">
        <v>46021</v>
      </c>
      <c r="C79" s="1" t="n">
        <v>46066</v>
      </c>
      <c r="D79" t="inlineStr">
        <is>
          <t>GÄVLEBORGS LÄN</t>
        </is>
      </c>
      <c r="E79" t="inlineStr">
        <is>
          <t>HOFORS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38746-2025</t>
        </is>
      </c>
      <c r="B80" s="1" t="n">
        <v>45887.37974537037</v>
      </c>
      <c r="C80" s="1" t="n">
        <v>46066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2220-2026</t>
        </is>
      </c>
      <c r="B81" s="1" t="n">
        <v>46036.50115740741</v>
      </c>
      <c r="C81" s="1" t="n">
        <v>46066</v>
      </c>
      <c r="D81" t="inlineStr">
        <is>
          <t>GÄVLEBORGS LÄN</t>
        </is>
      </c>
      <c r="E81" t="inlineStr">
        <is>
          <t>HOFORS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38741-2025</t>
        </is>
      </c>
      <c r="B82" s="1" t="n">
        <v>45887.37405092592</v>
      </c>
      <c r="C82" s="1" t="n">
        <v>46066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7580-2026</t>
        </is>
      </c>
      <c r="B83" s="1" t="n">
        <v>46061.63731481481</v>
      </c>
      <c r="C83" s="1" t="n">
        <v>46066</v>
      </c>
      <c r="D83" t="inlineStr">
        <is>
          <t>GÄVLEBORGS LÄN</t>
        </is>
      </c>
      <c r="E83" t="inlineStr">
        <is>
          <t>HOFORS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38486-2025</t>
        </is>
      </c>
      <c r="B84" s="1" t="n">
        <v>45884.34282407408</v>
      </c>
      <c r="C84" s="1" t="n">
        <v>46066</v>
      </c>
      <c r="D84" t="inlineStr">
        <is>
          <t>GÄVLEBORGS LÄN</t>
        </is>
      </c>
      <c r="E84" t="inlineStr">
        <is>
          <t>HOFORS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38744-2025</t>
        </is>
      </c>
      <c r="B85" s="1" t="n">
        <v>45887.37774305556</v>
      </c>
      <c r="C85" s="1" t="n">
        <v>46066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7581-2026</t>
        </is>
      </c>
      <c r="B86" s="1" t="n">
        <v>46061.63856481481</v>
      </c>
      <c r="C86" s="1" t="n">
        <v>46066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3391-2026</t>
        </is>
      </c>
      <c r="B87" s="1" t="n">
        <v>46042</v>
      </c>
      <c r="C87" s="1" t="n">
        <v>46066</v>
      </c>
      <c r="D87" t="inlineStr">
        <is>
          <t>GÄVLEBORGS LÄN</t>
        </is>
      </c>
      <c r="E87" t="inlineStr">
        <is>
          <t>HOFORS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58240-2021</t>
        </is>
      </c>
      <c r="B88" s="1" t="n">
        <v>44487.88978009259</v>
      </c>
      <c r="C88" s="1" t="n">
        <v>46066</v>
      </c>
      <c r="D88" t="inlineStr">
        <is>
          <t>GÄVLEBORGS LÄN</t>
        </is>
      </c>
      <c r="E88" t="inlineStr">
        <is>
          <t>HOFORS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8314-2026</t>
        </is>
      </c>
      <c r="B89" s="1" t="n">
        <v>46064.60053240741</v>
      </c>
      <c r="C89" s="1" t="n">
        <v>46066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8279-2026</t>
        </is>
      </c>
      <c r="B90" s="1" t="n">
        <v>46064.55806712963</v>
      </c>
      <c r="C90" s="1" t="n">
        <v>46066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43730-2023</t>
        </is>
      </c>
      <c r="B91" s="1" t="n">
        <v>45187</v>
      </c>
      <c r="C91" s="1" t="n">
        <v>46066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26753-2025</t>
        </is>
      </c>
      <c r="B92" s="1" t="n">
        <v>45810.55490740741</v>
      </c>
      <c r="C92" s="1" t="n">
        <v>46066</v>
      </c>
      <c r="D92" t="inlineStr">
        <is>
          <t>GÄVLEBORGS LÄN</t>
        </is>
      </c>
      <c r="E92" t="inlineStr">
        <is>
          <t>HOFORS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47524-2024</t>
        </is>
      </c>
      <c r="B93" s="1" t="n">
        <v>45587.63166666667</v>
      </c>
      <c r="C93" s="1" t="n">
        <v>46066</v>
      </c>
      <c r="D93" t="inlineStr">
        <is>
          <t>GÄVLEBORGS LÄN</t>
        </is>
      </c>
      <c r="E93" t="inlineStr">
        <is>
          <t>HOFORS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13471-2024</t>
        </is>
      </c>
      <c r="B94" s="1" t="n">
        <v>45387.57859953704</v>
      </c>
      <c r="C94" s="1" t="n">
        <v>46066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8321-2026</t>
        </is>
      </c>
      <c r="B95" s="1" t="n">
        <v>46064.60894675926</v>
      </c>
      <c r="C95" s="1" t="n">
        <v>46066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8324-2026</t>
        </is>
      </c>
      <c r="B96" s="1" t="n">
        <v>46064.61172453704</v>
      </c>
      <c r="C96" s="1" t="n">
        <v>46066</v>
      </c>
      <c r="D96" t="inlineStr">
        <is>
          <t>GÄVLEBORGS LÄN</t>
        </is>
      </c>
      <c r="E96" t="inlineStr">
        <is>
          <t>HOFORS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8202-2026</t>
        </is>
      </c>
      <c r="B97" s="1" t="n">
        <v>46064.44456018518</v>
      </c>
      <c r="C97" s="1" t="n">
        <v>46066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8250-2026</t>
        </is>
      </c>
      <c r="B98" s="1" t="n">
        <v>46064.49732638889</v>
      </c>
      <c r="C98" s="1" t="n">
        <v>46066</v>
      </c>
      <c r="D98" t="inlineStr">
        <is>
          <t>GÄVLEBORGS LÄN</t>
        </is>
      </c>
      <c r="E98" t="inlineStr">
        <is>
          <t>HOFORS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8275-2026</t>
        </is>
      </c>
      <c r="B99" s="1" t="n">
        <v>46064.55445601852</v>
      </c>
      <c r="C99" s="1" t="n">
        <v>46066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8239-2026</t>
        </is>
      </c>
      <c r="B100" s="1" t="n">
        <v>46064.48892361111</v>
      </c>
      <c r="C100" s="1" t="n">
        <v>46066</v>
      </c>
      <c r="D100" t="inlineStr">
        <is>
          <t>GÄVLEBORGS LÄN</t>
        </is>
      </c>
      <c r="E100" t="inlineStr">
        <is>
          <t>HOFORS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27431-2025</t>
        </is>
      </c>
      <c r="B101" s="1" t="n">
        <v>45813</v>
      </c>
      <c r="C101" s="1" t="n">
        <v>46066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27436-2025</t>
        </is>
      </c>
      <c r="B102" s="1" t="n">
        <v>45813</v>
      </c>
      <c r="C102" s="1" t="n">
        <v>46066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27438-2025</t>
        </is>
      </c>
      <c r="B103" s="1" t="n">
        <v>45813.3143287037</v>
      </c>
      <c r="C103" s="1" t="n">
        <v>46066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27432-2025</t>
        </is>
      </c>
      <c r="B104" s="1" t="n">
        <v>45813</v>
      </c>
      <c r="C104" s="1" t="n">
        <v>46066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27441-2025</t>
        </is>
      </c>
      <c r="B105" s="1" t="n">
        <v>45813.31630787037</v>
      </c>
      <c r="C105" s="1" t="n">
        <v>46066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46066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27738-2024</t>
        </is>
      </c>
      <c r="B107" s="1" t="n">
        <v>45475.45108796296</v>
      </c>
      <c r="C107" s="1" t="n">
        <v>46066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öst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37680-2022</t>
        </is>
      </c>
      <c r="B108" s="1" t="n">
        <v>44810</v>
      </c>
      <c r="C108" s="1" t="n">
        <v>46066</v>
      </c>
      <c r="D108" t="inlineStr">
        <is>
          <t>GÄVLEBORGS LÄN</t>
        </is>
      </c>
      <c r="E108" t="inlineStr">
        <is>
          <t>HOFORS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23545-2025</t>
        </is>
      </c>
      <c r="B109" s="1" t="n">
        <v>45792</v>
      </c>
      <c r="C109" s="1" t="n">
        <v>46066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59130-2024</t>
        </is>
      </c>
      <c r="B110" s="1" t="n">
        <v>45637</v>
      </c>
      <c r="C110" s="1" t="n">
        <v>46066</v>
      </c>
      <c r="D110" t="inlineStr">
        <is>
          <t>GÄVLEBORGS LÄN</t>
        </is>
      </c>
      <c r="E110" t="inlineStr">
        <is>
          <t>HOFORS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26302-2025</t>
        </is>
      </c>
      <c r="B111" s="1" t="n">
        <v>45805</v>
      </c>
      <c r="C111" s="1" t="n">
        <v>46066</v>
      </c>
      <c r="D111" t="inlineStr">
        <is>
          <t>GÄVLEBORGS LÄN</t>
        </is>
      </c>
      <c r="E111" t="inlineStr">
        <is>
          <t>HOFORS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46066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46066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46066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40407-2025</t>
        </is>
      </c>
      <c r="B115" s="1" t="n">
        <v>45895.57083333333</v>
      </c>
      <c r="C115" s="1" t="n">
        <v>46066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44356-2023</t>
        </is>
      </c>
      <c r="B116" s="1" t="n">
        <v>45188.81979166667</v>
      </c>
      <c r="C116" s="1" t="n">
        <v>46066</v>
      </c>
      <c r="D116" t="inlineStr">
        <is>
          <t>GÄVLEBORGS LÄN</t>
        </is>
      </c>
      <c r="E116" t="inlineStr">
        <is>
          <t>HOFORS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10740-2025</t>
        </is>
      </c>
      <c r="B117" s="1" t="n">
        <v>45722.41008101852</v>
      </c>
      <c r="C117" s="1" t="n">
        <v>46066</v>
      </c>
      <c r="D117" t="inlineStr">
        <is>
          <t>GÄVLEBORGS LÄN</t>
        </is>
      </c>
      <c r="E117" t="inlineStr">
        <is>
          <t>HOFORS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46066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31471-2025</t>
        </is>
      </c>
      <c r="B119" s="1" t="n">
        <v>45833.56436342592</v>
      </c>
      <c r="C119" s="1" t="n">
        <v>46066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13744-2023</t>
        </is>
      </c>
      <c r="B120" s="1" t="n">
        <v>45007</v>
      </c>
      <c r="C120" s="1" t="n">
        <v>46066</v>
      </c>
      <c r="D120" t="inlineStr">
        <is>
          <t>GÄVLEBORGS LÄN</t>
        </is>
      </c>
      <c r="E120" t="inlineStr">
        <is>
          <t>HOFORS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32299-2025</t>
        </is>
      </c>
      <c r="B121" s="1" t="n">
        <v>45835</v>
      </c>
      <c r="C121" s="1" t="n">
        <v>46066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8510-2023</t>
        </is>
      </c>
      <c r="B122" s="1" t="n">
        <v>44977.56144675926</v>
      </c>
      <c r="C122" s="1" t="n">
        <v>46066</v>
      </c>
      <c r="D122" t="inlineStr">
        <is>
          <t>GÄVLEBORGS LÄN</t>
        </is>
      </c>
      <c r="E122" t="inlineStr">
        <is>
          <t>HOFORS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41569-2025</t>
        </is>
      </c>
      <c r="B123" s="1" t="n">
        <v>45901.60810185185</v>
      </c>
      <c r="C123" s="1" t="n">
        <v>46066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41620-2025</t>
        </is>
      </c>
      <c r="B124" s="1" t="n">
        <v>45901.70319444445</v>
      </c>
      <c r="C124" s="1" t="n">
        <v>46066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22129-2023</t>
        </is>
      </c>
      <c r="B125" s="1" t="n">
        <v>45069</v>
      </c>
      <c r="C125" s="1" t="n">
        <v>46066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25476-2024</t>
        </is>
      </c>
      <c r="B126" s="1" t="n">
        <v>45463.44922453703</v>
      </c>
      <c r="C126" s="1" t="n">
        <v>46066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25477-2024</t>
        </is>
      </c>
      <c r="B127" s="1" t="n">
        <v>45463.45015046297</v>
      </c>
      <c r="C127" s="1" t="n">
        <v>46066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43282-2021</t>
        </is>
      </c>
      <c r="B128" s="1" t="n">
        <v>44432.39119212963</v>
      </c>
      <c r="C128" s="1" t="n">
        <v>46066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35473-2025</t>
        </is>
      </c>
      <c r="B129" s="1" t="n">
        <v>45855.66804398148</v>
      </c>
      <c r="C129" s="1" t="n">
        <v>46066</v>
      </c>
      <c r="D129" t="inlineStr">
        <is>
          <t>GÄVLEBORGS LÄN</t>
        </is>
      </c>
      <c r="E129" t="inlineStr">
        <is>
          <t>HOFORS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35475-2025</t>
        </is>
      </c>
      <c r="B130" s="1" t="n">
        <v>45855.67001157408</v>
      </c>
      <c r="C130" s="1" t="n">
        <v>46066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47495-2024</t>
        </is>
      </c>
      <c r="B131" s="1" t="n">
        <v>45587.59559027778</v>
      </c>
      <c r="C131" s="1" t="n">
        <v>46066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30007-2024</t>
        </is>
      </c>
      <c r="B132" s="1" t="n">
        <v>45488.60150462963</v>
      </c>
      <c r="C132" s="1" t="n">
        <v>46066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30009-2024</t>
        </is>
      </c>
      <c r="B133" s="1" t="n">
        <v>45488.60546296297</v>
      </c>
      <c r="C133" s="1" t="n">
        <v>46066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54578-2024</t>
        </is>
      </c>
      <c r="B134" s="1" t="n">
        <v>45617.65644675926</v>
      </c>
      <c r="C134" s="1" t="n">
        <v>46066</v>
      </c>
      <c r="D134" t="inlineStr">
        <is>
          <t>GÄVLEBORGS LÄN</t>
        </is>
      </c>
      <c r="E134" t="inlineStr">
        <is>
          <t>HOFORS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36180-2025</t>
        </is>
      </c>
      <c r="B135" s="1" t="n">
        <v>45867.41327546296</v>
      </c>
      <c r="C135" s="1" t="n">
        <v>46066</v>
      </c>
      <c r="D135" t="inlineStr">
        <is>
          <t>GÄVLEBORGS LÄN</t>
        </is>
      </c>
      <c r="E135" t="inlineStr">
        <is>
          <t>HOFORS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49815-2024</t>
        </is>
      </c>
      <c r="B136" s="1" t="n">
        <v>45597.39709490741</v>
      </c>
      <c r="C136" s="1" t="n">
        <v>46066</v>
      </c>
      <c r="D136" t="inlineStr">
        <is>
          <t>GÄVLEBORGS LÄN</t>
        </is>
      </c>
      <c r="E136" t="inlineStr">
        <is>
          <t>HOFORS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37763-2023</t>
        </is>
      </c>
      <c r="B137" s="1" t="n">
        <v>45156</v>
      </c>
      <c r="C137" s="1" t="n">
        <v>46066</v>
      </c>
      <c r="D137" t="inlineStr">
        <is>
          <t>GÄVLEBORGS LÄN</t>
        </is>
      </c>
      <c r="E137" t="inlineStr">
        <is>
          <t>HOFORS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36349-2025</t>
        </is>
      </c>
      <c r="B138" s="1" t="n">
        <v>45868.48269675926</v>
      </c>
      <c r="C138" s="1" t="n">
        <v>46066</v>
      </c>
      <c r="D138" t="inlineStr">
        <is>
          <t>GÄVLEBORGS LÄN</t>
        </is>
      </c>
      <c r="E138" t="inlineStr">
        <is>
          <t>HOFORS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35505-2024</t>
        </is>
      </c>
      <c r="B139" s="1" t="n">
        <v>45531.53869212963</v>
      </c>
      <c r="C139" s="1" t="n">
        <v>46066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35514-2024</t>
        </is>
      </c>
      <c r="B140" s="1" t="n">
        <v>45531.56472222223</v>
      </c>
      <c r="C140" s="1" t="n">
        <v>46066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30229-2024</t>
        </is>
      </c>
      <c r="B141" s="1" t="n">
        <v>45490.46946759259</v>
      </c>
      <c r="C141" s="1" t="n">
        <v>46066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2612-2025</t>
        </is>
      </c>
      <c r="B142" s="1" t="n">
        <v>45674</v>
      </c>
      <c r="C142" s="1" t="n">
        <v>46066</v>
      </c>
      <c r="D142" t="inlineStr">
        <is>
          <t>GÄVLEBORGS LÄN</t>
        </is>
      </c>
      <c r="E142" t="inlineStr">
        <is>
          <t>HOFORS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37444-2025</t>
        </is>
      </c>
      <c r="B143" s="1" t="n">
        <v>45877.54305555556</v>
      </c>
      <c r="C143" s="1" t="n">
        <v>46066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37988-2025</t>
        </is>
      </c>
      <c r="B144" s="1" t="n">
        <v>45881.70454861111</v>
      </c>
      <c r="C144" s="1" t="n">
        <v>46066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23376-2024</t>
        </is>
      </c>
      <c r="B145" s="1" t="n">
        <v>45453</v>
      </c>
      <c r="C145" s="1" t="n">
        <v>46066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58955-2023</t>
        </is>
      </c>
      <c r="B146" s="1" t="n">
        <v>45252</v>
      </c>
      <c r="C146" s="1" t="n">
        <v>46066</v>
      </c>
      <c r="D146" t="inlineStr">
        <is>
          <t>GÄVLEBORGS LÄN</t>
        </is>
      </c>
      <c r="E146" t="inlineStr">
        <is>
          <t>HOFORS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46066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44694-2025</t>
        </is>
      </c>
      <c r="B148" s="1" t="n">
        <v>45917.59674768519</v>
      </c>
      <c r="C148" s="1" t="n">
        <v>46066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44692-2025</t>
        </is>
      </c>
      <c r="B149" s="1" t="n">
        <v>45917.59540509259</v>
      </c>
      <c r="C149" s="1" t="n">
        <v>46066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10587-2022</t>
        </is>
      </c>
      <c r="B150" s="1" t="n">
        <v>44624</v>
      </c>
      <c r="C150" s="1" t="n">
        <v>46066</v>
      </c>
      <c r="D150" t="inlineStr">
        <is>
          <t>GÄVLEBORGS LÄN</t>
        </is>
      </c>
      <c r="E150" t="inlineStr">
        <is>
          <t>HOFORS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31123-2021</t>
        </is>
      </c>
      <c r="B151" s="1" t="n">
        <v>44368</v>
      </c>
      <c r="C151" s="1" t="n">
        <v>46066</v>
      </c>
      <c r="D151" t="inlineStr">
        <is>
          <t>GÄVLEBORGS LÄN</t>
        </is>
      </c>
      <c r="E151" t="inlineStr">
        <is>
          <t>HOFORS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36763-2024</t>
        </is>
      </c>
      <c r="B152" s="1" t="n">
        <v>45538.36181712963</v>
      </c>
      <c r="C152" s="1" t="n">
        <v>46066</v>
      </c>
      <c r="D152" t="inlineStr">
        <is>
          <t>GÄVLEBORGS LÄN</t>
        </is>
      </c>
      <c r="E152" t="inlineStr">
        <is>
          <t>HOFORS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21027-2024</t>
        </is>
      </c>
      <c r="B153" s="1" t="n">
        <v>45439</v>
      </c>
      <c r="C153" s="1" t="n">
        <v>46066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21028-2024</t>
        </is>
      </c>
      <c r="B154" s="1" t="n">
        <v>45439</v>
      </c>
      <c r="C154" s="1" t="n">
        <v>46066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16371-2022</t>
        </is>
      </c>
      <c r="B155" s="1" t="n">
        <v>44671</v>
      </c>
      <c r="C155" s="1" t="n">
        <v>46066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47091-2025</t>
        </is>
      </c>
      <c r="B156" s="1" t="n">
        <v>45929.65052083333</v>
      </c>
      <c r="C156" s="1" t="n">
        <v>46066</v>
      </c>
      <c r="D156" t="inlineStr">
        <is>
          <t>GÄVLEBORGS LÄN</t>
        </is>
      </c>
      <c r="E156" t="inlineStr">
        <is>
          <t>HOFORS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47097-2025</t>
        </is>
      </c>
      <c r="B157" s="1" t="n">
        <v>45929.65541666667</v>
      </c>
      <c r="C157" s="1" t="n">
        <v>46066</v>
      </c>
      <c r="D157" t="inlineStr">
        <is>
          <t>GÄVLEBORGS LÄN</t>
        </is>
      </c>
      <c r="E157" t="inlineStr">
        <is>
          <t>HOFORS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40393-2025</t>
        </is>
      </c>
      <c r="B158" s="1" t="n">
        <v>45895.55646990741</v>
      </c>
      <c r="C158" s="1" t="n">
        <v>46066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57751-2024</t>
        </is>
      </c>
      <c r="B159" s="1" t="n">
        <v>45630.82424768519</v>
      </c>
      <c r="C159" s="1" t="n">
        <v>46066</v>
      </c>
      <c r="D159" t="inlineStr">
        <is>
          <t>GÄVLEBORGS LÄN</t>
        </is>
      </c>
      <c r="E159" t="inlineStr">
        <is>
          <t>HOFORS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47249-2025</t>
        </is>
      </c>
      <c r="B160" s="1" t="n">
        <v>45930.43439814815</v>
      </c>
      <c r="C160" s="1" t="n">
        <v>46066</v>
      </c>
      <c r="D160" t="inlineStr">
        <is>
          <t>GÄVLEBORGS LÄN</t>
        </is>
      </c>
      <c r="E160" t="inlineStr">
        <is>
          <t>HOFORS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40401-2025</t>
        </is>
      </c>
      <c r="B161" s="1" t="n">
        <v>45895.56739583334</v>
      </c>
      <c r="C161" s="1" t="n">
        <v>46066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47469-2025</t>
        </is>
      </c>
      <c r="B162" s="1" t="n">
        <v>45930.67037037037</v>
      </c>
      <c r="C162" s="1" t="n">
        <v>46066</v>
      </c>
      <c r="D162" t="inlineStr">
        <is>
          <t>GÄVLEBORGS LÄN</t>
        </is>
      </c>
      <c r="E162" t="inlineStr">
        <is>
          <t>HOFORS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48232-2025</t>
        </is>
      </c>
      <c r="B163" s="1" t="n">
        <v>45933.53054398148</v>
      </c>
      <c r="C163" s="1" t="n">
        <v>46066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48242-2025</t>
        </is>
      </c>
      <c r="B164" s="1" t="n">
        <v>45933.53510416667</v>
      </c>
      <c r="C164" s="1" t="n">
        <v>46066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27959-2025</t>
        </is>
      </c>
      <c r="B165" s="1" t="n">
        <v>45816</v>
      </c>
      <c r="C165" s="1" t="n">
        <v>46066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väst AB</t>
        </is>
      </c>
      <c r="G165" t="n">
        <v>45.6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48240-2025</t>
        </is>
      </c>
      <c r="B166" s="1" t="n">
        <v>45933.53292824074</v>
      </c>
      <c r="C166" s="1" t="n">
        <v>46066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48241-2025</t>
        </is>
      </c>
      <c r="B167" s="1" t="n">
        <v>45933.53391203703</v>
      </c>
      <c r="C167" s="1" t="n">
        <v>46066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48252-2025</t>
        </is>
      </c>
      <c r="B168" s="1" t="n">
        <v>45933.55329861111</v>
      </c>
      <c r="C168" s="1" t="n">
        <v>46066</v>
      </c>
      <c r="D168" t="inlineStr">
        <is>
          <t>GÄVLEBORGS LÄN</t>
        </is>
      </c>
      <c r="E168" t="inlineStr">
        <is>
          <t>HOFORS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48231-2025</t>
        </is>
      </c>
      <c r="B169" s="1" t="n">
        <v>45933.52594907407</v>
      </c>
      <c r="C169" s="1" t="n">
        <v>46066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48612-2025</t>
        </is>
      </c>
      <c r="B170" s="1" t="n">
        <v>45935</v>
      </c>
      <c r="C170" s="1" t="n">
        <v>46066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48609-2025</t>
        </is>
      </c>
      <c r="B171" s="1" t="n">
        <v>45935</v>
      </c>
      <c r="C171" s="1" t="n">
        <v>46066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2915-2025</t>
        </is>
      </c>
      <c r="B172" s="1" t="n">
        <v>45677.96424768519</v>
      </c>
      <c r="C172" s="1" t="n">
        <v>46066</v>
      </c>
      <c r="D172" t="inlineStr">
        <is>
          <t>GÄVLEBORGS LÄN</t>
        </is>
      </c>
      <c r="E172" t="inlineStr">
        <is>
          <t>HOFORS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32980-2023</t>
        </is>
      </c>
      <c r="B173" s="1" t="n">
        <v>45125.59980324074</v>
      </c>
      <c r="C173" s="1" t="n">
        <v>46066</v>
      </c>
      <c r="D173" t="inlineStr">
        <is>
          <t>GÄVLEBORGS LÄN</t>
        </is>
      </c>
      <c r="E173" t="inlineStr">
        <is>
          <t>HOFORS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57400-2024</t>
        </is>
      </c>
      <c r="B174" s="1" t="n">
        <v>45629.71085648148</v>
      </c>
      <c r="C174" s="1" t="n">
        <v>46066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43885-2025</t>
        </is>
      </c>
      <c r="B175" s="1" t="n">
        <v>45912.69076388889</v>
      </c>
      <c r="C175" s="1" t="n">
        <v>46066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43887-2025</t>
        </is>
      </c>
      <c r="B176" s="1" t="n">
        <v>45912.69278935185</v>
      </c>
      <c r="C176" s="1" t="n">
        <v>46066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62596-2023</t>
        </is>
      </c>
      <c r="B177" s="1" t="n">
        <v>45271</v>
      </c>
      <c r="C177" s="1" t="n">
        <v>46066</v>
      </c>
      <c r="D177" t="inlineStr">
        <is>
          <t>GÄVLEBORGS LÄN</t>
        </is>
      </c>
      <c r="E177" t="inlineStr">
        <is>
          <t>HOFORS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45965-2025</t>
        </is>
      </c>
      <c r="B178" s="1" t="n">
        <v>45924.35655092593</v>
      </c>
      <c r="C178" s="1" t="n">
        <v>46066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25474-2024</t>
        </is>
      </c>
      <c r="B179" s="1" t="n">
        <v>45463.44631944445</v>
      </c>
      <c r="C179" s="1" t="n">
        <v>46066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8448-2025</t>
        </is>
      </c>
      <c r="B180" s="1" t="n">
        <v>45709</v>
      </c>
      <c r="C180" s="1" t="n">
        <v>46066</v>
      </c>
      <c r="D180" t="inlineStr">
        <is>
          <t>GÄVLEBORGS LÄN</t>
        </is>
      </c>
      <c r="E180" t="inlineStr">
        <is>
          <t>HOFORS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47493-2024</t>
        </is>
      </c>
      <c r="B181" s="1" t="n">
        <v>45587.59410879629</v>
      </c>
      <c r="C181" s="1" t="n">
        <v>46066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51225-2025</t>
        </is>
      </c>
      <c r="B182" s="1" t="n">
        <v>45947.65599537037</v>
      </c>
      <c r="C182" s="1" t="n">
        <v>46066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10161-2023</t>
        </is>
      </c>
      <c r="B183" s="1" t="n">
        <v>44986</v>
      </c>
      <c r="C183" s="1" t="n">
        <v>46066</v>
      </c>
      <c r="D183" t="inlineStr">
        <is>
          <t>GÄVLEBORGS LÄN</t>
        </is>
      </c>
      <c r="E183" t="inlineStr">
        <is>
          <t>HOFORS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52693-2025</t>
        </is>
      </c>
      <c r="B184" s="1" t="n">
        <v>45956.58960648148</v>
      </c>
      <c r="C184" s="1" t="n">
        <v>46066</v>
      </c>
      <c r="D184" t="inlineStr">
        <is>
          <t>GÄVLEBORGS LÄN</t>
        </is>
      </c>
      <c r="E184" t="inlineStr">
        <is>
          <t>HOFORS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34232-2023</t>
        </is>
      </c>
      <c r="B185" s="1" t="n">
        <v>45127</v>
      </c>
      <c r="C185" s="1" t="n">
        <v>46066</v>
      </c>
      <c r="D185" t="inlineStr">
        <is>
          <t>GÄVLEBORGS LÄN</t>
        </is>
      </c>
      <c r="E185" t="inlineStr">
        <is>
          <t>HOFORS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46066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46066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46066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22226-2024</t>
        </is>
      </c>
      <c r="B189" s="1" t="n">
        <v>45446.4203587963</v>
      </c>
      <c r="C189" s="1" t="n">
        <v>46066</v>
      </c>
      <c r="D189" t="inlineStr">
        <is>
          <t>GÄVLEBORGS LÄN</t>
        </is>
      </c>
      <c r="E189" t="inlineStr">
        <is>
          <t>HOFORS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54827-2025</t>
        </is>
      </c>
      <c r="B190" s="1" t="n">
        <v>45966.66925925926</v>
      </c>
      <c r="C190" s="1" t="n">
        <v>46066</v>
      </c>
      <c r="D190" t="inlineStr">
        <is>
          <t>GÄVLEBORGS LÄN</t>
        </is>
      </c>
      <c r="E190" t="inlineStr">
        <is>
          <t>HOFORS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37693-2023</t>
        </is>
      </c>
      <c r="B191" s="1" t="n">
        <v>45159.57056712963</v>
      </c>
      <c r="C191" s="1" t="n">
        <v>46066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55288-2025</t>
        </is>
      </c>
      <c r="B192" s="1" t="n">
        <v>45969.33444444444</v>
      </c>
      <c r="C192" s="1" t="n">
        <v>46066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55287-2025</t>
        </is>
      </c>
      <c r="B193" s="1" t="n">
        <v>45969.30730324074</v>
      </c>
      <c r="C193" s="1" t="n">
        <v>46066</v>
      </c>
      <c r="D193" t="inlineStr">
        <is>
          <t>GÄVLEBORGS LÄN</t>
        </is>
      </c>
      <c r="E193" t="inlineStr">
        <is>
          <t>HOFORS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57596-2025</t>
        </is>
      </c>
      <c r="B194" s="1" t="n">
        <v>45980.9716087963</v>
      </c>
      <c r="C194" s="1" t="n">
        <v>46066</v>
      </c>
      <c r="D194" t="inlineStr">
        <is>
          <t>GÄVLEBORGS LÄN</t>
        </is>
      </c>
      <c r="E194" t="inlineStr">
        <is>
          <t>HOFORS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57593-2025</t>
        </is>
      </c>
      <c r="B195" s="1" t="n">
        <v>45980.96055555555</v>
      </c>
      <c r="C195" s="1" t="n">
        <v>46066</v>
      </c>
      <c r="D195" t="inlineStr">
        <is>
          <t>GÄVLEBORGS LÄN</t>
        </is>
      </c>
      <c r="E195" t="inlineStr">
        <is>
          <t>HOFORS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57595-2025</t>
        </is>
      </c>
      <c r="B196" s="1" t="n">
        <v>45980.97019675926</v>
      </c>
      <c r="C196" s="1" t="n">
        <v>46066</v>
      </c>
      <c r="D196" t="inlineStr">
        <is>
          <t>GÄVLEBORGS LÄN</t>
        </is>
      </c>
      <c r="E196" t="inlineStr">
        <is>
          <t>HOFORS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48063-2024</t>
        </is>
      </c>
      <c r="B197" s="1" t="n">
        <v>45589.55237268518</v>
      </c>
      <c r="C197" s="1" t="n">
        <v>46066</v>
      </c>
      <c r="D197" t="inlineStr">
        <is>
          <t>GÄVLEBORGS LÄN</t>
        </is>
      </c>
      <c r="E197" t="inlineStr">
        <is>
          <t>HOFORS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57594-2025</t>
        </is>
      </c>
      <c r="B198" s="1" t="n">
        <v>45980.96221064815</v>
      </c>
      <c r="C198" s="1" t="n">
        <v>46066</v>
      </c>
      <c r="D198" t="inlineStr">
        <is>
          <t>GÄVLEBORGS LÄN</t>
        </is>
      </c>
      <c r="E198" t="inlineStr">
        <is>
          <t>HOFORS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58324-2025</t>
        </is>
      </c>
      <c r="B199" s="1" t="n">
        <v>45985.47690972222</v>
      </c>
      <c r="C199" s="1" t="n">
        <v>46066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58008-2025</t>
        </is>
      </c>
      <c r="B200" s="1" t="n">
        <v>45982.45744212963</v>
      </c>
      <c r="C200" s="1" t="n">
        <v>46066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17762-2022</t>
        </is>
      </c>
      <c r="B201" s="1" t="n">
        <v>44680</v>
      </c>
      <c r="C201" s="1" t="n">
        <v>46066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51277-2022</t>
        </is>
      </c>
      <c r="B202" s="1" t="n">
        <v>44868.7127662037</v>
      </c>
      <c r="C202" s="1" t="n">
        <v>46066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659-2026</t>
        </is>
      </c>
      <c r="B203" s="1" t="n">
        <v>46029.58206018519</v>
      </c>
      <c r="C203" s="1" t="n">
        <v>46066</v>
      </c>
      <c r="D203" t="inlineStr">
        <is>
          <t>GÄVLEBORGS LÄN</t>
        </is>
      </c>
      <c r="E203" t="inlineStr">
        <is>
          <t>HOFORS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58633-2025</t>
        </is>
      </c>
      <c r="B204" s="1" t="n">
        <v>45986.48885416667</v>
      </c>
      <c r="C204" s="1" t="n">
        <v>46066</v>
      </c>
      <c r="D204" t="inlineStr">
        <is>
          <t>GÄVLEBORGS LÄN</t>
        </is>
      </c>
      <c r="E204" t="inlineStr">
        <is>
          <t>HOFORS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58805-2025</t>
        </is>
      </c>
      <c r="B205" s="1" t="n">
        <v>45986.9652662037</v>
      </c>
      <c r="C205" s="1" t="n">
        <v>46066</v>
      </c>
      <c r="D205" t="inlineStr">
        <is>
          <t>GÄVLEBORGS LÄN</t>
        </is>
      </c>
      <c r="E205" t="inlineStr">
        <is>
          <t>HOFORS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13745-2023</t>
        </is>
      </c>
      <c r="B206" s="1" t="n">
        <v>45007</v>
      </c>
      <c r="C206" s="1" t="n">
        <v>46066</v>
      </c>
      <c r="D206" t="inlineStr">
        <is>
          <t>GÄVLEBORGS LÄN</t>
        </is>
      </c>
      <c r="E206" t="inlineStr">
        <is>
          <t>HOFORS</t>
        </is>
      </c>
      <c r="F206" t="inlineStr">
        <is>
          <t>Övriga statliga verk och myndigheter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14119-2025</t>
        </is>
      </c>
      <c r="B207" s="1" t="n">
        <v>45740.4659837963</v>
      </c>
      <c r="C207" s="1" t="n">
        <v>46066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681-2026</t>
        </is>
      </c>
      <c r="B208" s="1" t="n">
        <v>46029</v>
      </c>
      <c r="C208" s="1" t="n">
        <v>46066</v>
      </c>
      <c r="D208" t="inlineStr">
        <is>
          <t>GÄVLEBORGS LÄN</t>
        </is>
      </c>
      <c r="E208" t="inlineStr">
        <is>
          <t>HOFORS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683-2026</t>
        </is>
      </c>
      <c r="B209" s="1" t="n">
        <v>46029</v>
      </c>
      <c r="C209" s="1" t="n">
        <v>46066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25465-2024</t>
        </is>
      </c>
      <c r="B210" s="1" t="n">
        <v>45463.43416666667</v>
      </c>
      <c r="C210" s="1" t="n">
        <v>46066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802-2026</t>
        </is>
      </c>
      <c r="B211" s="1" t="n">
        <v>46030</v>
      </c>
      <c r="C211" s="1" t="n">
        <v>46066</v>
      </c>
      <c r="D211" t="inlineStr">
        <is>
          <t>GÄVLEBORGS LÄN</t>
        </is>
      </c>
      <c r="E211" t="inlineStr">
        <is>
          <t>HOFORS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688-2026</t>
        </is>
      </c>
      <c r="B212" s="1" t="n">
        <v>46029</v>
      </c>
      <c r="C212" s="1" t="n">
        <v>46066</v>
      </c>
      <c r="D212" t="inlineStr">
        <is>
          <t>GÄVLEBORGS LÄN</t>
        </is>
      </c>
      <c r="E212" t="inlineStr">
        <is>
          <t>HOFORS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341-2026</t>
        </is>
      </c>
      <c r="B213" s="1" t="n">
        <v>46027</v>
      </c>
      <c r="C213" s="1" t="n">
        <v>46066</v>
      </c>
      <c r="D213" t="inlineStr">
        <is>
          <t>GÄVLEBORGS LÄN</t>
        </is>
      </c>
      <c r="E213" t="inlineStr">
        <is>
          <t>HOFORS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35114-2023</t>
        </is>
      </c>
      <c r="B214" s="1" t="n">
        <v>45145</v>
      </c>
      <c r="C214" s="1" t="n">
        <v>46066</v>
      </c>
      <c r="D214" t="inlineStr">
        <is>
          <t>GÄVLEBORGS LÄN</t>
        </is>
      </c>
      <c r="E214" t="inlineStr">
        <is>
          <t>HOFORS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35136-2023</t>
        </is>
      </c>
      <c r="B215" s="1" t="n">
        <v>45145.52915509259</v>
      </c>
      <c r="C215" s="1" t="n">
        <v>46066</v>
      </c>
      <c r="D215" t="inlineStr">
        <is>
          <t>GÄVLEBORGS LÄN</t>
        </is>
      </c>
      <c r="E215" t="inlineStr">
        <is>
          <t>HOFORS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692-2026</t>
        </is>
      </c>
      <c r="B216" s="1" t="n">
        <v>46029</v>
      </c>
      <c r="C216" s="1" t="n">
        <v>46066</v>
      </c>
      <c r="D216" t="inlineStr">
        <is>
          <t>GÄVLEBORGS LÄN</t>
        </is>
      </c>
      <c r="E216" t="inlineStr">
        <is>
          <t>HOFORS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38251-2022</t>
        </is>
      </c>
      <c r="B217" s="1" t="n">
        <v>44812.4874537037</v>
      </c>
      <c r="C217" s="1" t="n">
        <v>46066</v>
      </c>
      <c r="D217" t="inlineStr">
        <is>
          <t>GÄVLEBORGS LÄN</t>
        </is>
      </c>
      <c r="E217" t="inlineStr">
        <is>
          <t>HOFORS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3614-2026</t>
        </is>
      </c>
      <c r="B218" s="1" t="n">
        <v>46042.94263888889</v>
      </c>
      <c r="C218" s="1" t="n">
        <v>46066</v>
      </c>
      <c r="D218" t="inlineStr">
        <is>
          <t>GÄVLEBORGS LÄN</t>
        </is>
      </c>
      <c r="E218" t="inlineStr">
        <is>
          <t>HOFORS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61186-2025</t>
        </is>
      </c>
      <c r="B219" s="1" t="n">
        <v>46000.58625</v>
      </c>
      <c r="C219" s="1" t="n">
        <v>46066</v>
      </c>
      <c r="D219" t="inlineStr">
        <is>
          <t>GÄVLEBORGS LÄN</t>
        </is>
      </c>
      <c r="E219" t="inlineStr">
        <is>
          <t>HOFORS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3870-2026</t>
        </is>
      </c>
      <c r="B220" s="1" t="n">
        <v>46043.64090277778</v>
      </c>
      <c r="C220" s="1" t="n">
        <v>46066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31607-2023</t>
        </is>
      </c>
      <c r="B221" s="1" t="n">
        <v>45117</v>
      </c>
      <c r="C221" s="1" t="n">
        <v>46066</v>
      </c>
      <c r="D221" t="inlineStr">
        <is>
          <t>GÄVLEBORGS LÄN</t>
        </is>
      </c>
      <c r="E221" t="inlineStr">
        <is>
          <t>HOFORS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31611-2023</t>
        </is>
      </c>
      <c r="B222" s="1" t="n">
        <v>45117</v>
      </c>
      <c r="C222" s="1" t="n">
        <v>46066</v>
      </c>
      <c r="D222" t="inlineStr">
        <is>
          <t>GÄVLEBORGS LÄN</t>
        </is>
      </c>
      <c r="E222" t="inlineStr">
        <is>
          <t>HOFORS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3615-2026</t>
        </is>
      </c>
      <c r="B223" s="1" t="n">
        <v>46042.94633101852</v>
      </c>
      <c r="C223" s="1" t="n">
        <v>46066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4419-2026</t>
        </is>
      </c>
      <c r="B224" s="1" t="n">
        <v>46045.60791666667</v>
      </c>
      <c r="C224" s="1" t="n">
        <v>46066</v>
      </c>
      <c r="D224" t="inlineStr">
        <is>
          <t>GÄVLEBORGS LÄN</t>
        </is>
      </c>
      <c r="E224" t="inlineStr">
        <is>
          <t>HOFORS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129-2026</t>
        </is>
      </c>
      <c r="B225" s="1" t="n">
        <v>46024.59600694444</v>
      </c>
      <c r="C225" s="1" t="n">
        <v>46066</v>
      </c>
      <c r="D225" t="inlineStr">
        <is>
          <t>GÄVLEBORGS LÄN</t>
        </is>
      </c>
      <c r="E225" t="inlineStr">
        <is>
          <t>HOFORS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46044.38896990741</v>
      </c>
      <c r="C226" s="1" t="n">
        <v>46066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61642-2025</t>
        </is>
      </c>
      <c r="B227" s="1" t="n">
        <v>46002.43494212963</v>
      </c>
      <c r="C227" s="1" t="n">
        <v>46066</v>
      </c>
      <c r="D227" t="inlineStr">
        <is>
          <t>GÄVLEBORGS LÄN</t>
        </is>
      </c>
      <c r="E227" t="inlineStr">
        <is>
          <t>HOFORS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4104-2026</t>
        </is>
      </c>
      <c r="B228" s="1" t="n">
        <v>46044.58568287037</v>
      </c>
      <c r="C228" s="1" t="n">
        <v>46066</v>
      </c>
      <c r="D228" t="inlineStr">
        <is>
          <t>GÄVLEBORGS LÄN</t>
        </is>
      </c>
      <c r="E228" t="inlineStr">
        <is>
          <t>HOFORS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4101-2026</t>
        </is>
      </c>
      <c r="B229" s="1" t="n">
        <v>46044.57539351852</v>
      </c>
      <c r="C229" s="1" t="n">
        <v>46066</v>
      </c>
      <c r="D229" t="inlineStr">
        <is>
          <t>GÄVLEBORGS LÄN</t>
        </is>
      </c>
      <c r="E229" t="inlineStr">
        <is>
          <t>HOFORS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4541-2026</t>
        </is>
      </c>
      <c r="B230" s="1" t="n">
        <v>46046.94703703704</v>
      </c>
      <c r="C230" s="1" t="n">
        <v>46066</v>
      </c>
      <c r="D230" t="inlineStr">
        <is>
          <t>GÄVLEBORGS LÄN</t>
        </is>
      </c>
      <c r="E230" t="inlineStr">
        <is>
          <t>HOFORS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36278-2024</t>
        </is>
      </c>
      <c r="B231" s="1" t="n">
        <v>45534.58508101852</v>
      </c>
      <c r="C231" s="1" t="n">
        <v>46066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5177-2026</t>
        </is>
      </c>
      <c r="B232" s="1" t="n">
        <v>46049.65239583333</v>
      </c>
      <c r="C232" s="1" t="n">
        <v>46066</v>
      </c>
      <c r="D232" t="inlineStr">
        <is>
          <t>GÄVLEBORGS LÄN</t>
        </is>
      </c>
      <c r="E232" t="inlineStr">
        <is>
          <t>HOFORS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4566-2026</t>
        </is>
      </c>
      <c r="B233" s="1" t="n">
        <v>46047.87172453704</v>
      </c>
      <c r="C233" s="1" t="n">
        <v>46066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5482-2026</t>
        </is>
      </c>
      <c r="B234" s="1" t="n">
        <v>46050.60585648148</v>
      </c>
      <c r="C234" s="1" t="n">
        <v>46066</v>
      </c>
      <c r="D234" t="inlineStr">
        <is>
          <t>GÄVLEBORGS LÄN</t>
        </is>
      </c>
      <c r="E234" t="inlineStr">
        <is>
          <t>HOFORS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5549-2026</t>
        </is>
      </c>
      <c r="B235" s="1" t="n">
        <v>46050.71560185185</v>
      </c>
      <c r="C235" s="1" t="n">
        <v>46066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5249-2026</t>
        </is>
      </c>
      <c r="B236" s="1" t="n">
        <v>46049.90417824074</v>
      </c>
      <c r="C236" s="1" t="n">
        <v>46066</v>
      </c>
      <c r="D236" t="inlineStr">
        <is>
          <t>GÄVLEBORGS LÄN</t>
        </is>
      </c>
      <c r="E236" t="inlineStr">
        <is>
          <t>HOFORS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892-2026</t>
        </is>
      </c>
      <c r="B237" s="1" t="n">
        <v>46030.45260416667</v>
      </c>
      <c r="C237" s="1" t="n">
        <v>46066</v>
      </c>
      <c r="D237" t="inlineStr">
        <is>
          <t>GÄVLEBORGS LÄN</t>
        </is>
      </c>
      <c r="E237" t="inlineStr">
        <is>
          <t>HOFORS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837-2026</t>
        </is>
      </c>
      <c r="B238" s="1" t="n">
        <v>46030.3752662037</v>
      </c>
      <c r="C238" s="1" t="n">
        <v>46066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33495-2023</t>
        </is>
      </c>
      <c r="B239" s="1" t="n">
        <v>45118</v>
      </c>
      <c r="C239" s="1" t="n">
        <v>46066</v>
      </c>
      <c r="D239" t="inlineStr">
        <is>
          <t>GÄVLEBORGS LÄN</t>
        </is>
      </c>
      <c r="E239" t="inlineStr">
        <is>
          <t>HOFORS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43143-2024</t>
        </is>
      </c>
      <c r="B240" s="1" t="n">
        <v>45567.62359953704</v>
      </c>
      <c r="C240" s="1" t="n">
        <v>46066</v>
      </c>
      <c r="D240" t="inlineStr">
        <is>
          <t>GÄVLEBORGS LÄN</t>
        </is>
      </c>
      <c r="E240" t="inlineStr">
        <is>
          <t>HOFORS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5872-2026</t>
        </is>
      </c>
      <c r="B241" s="1" t="n">
        <v>46052.3731712963</v>
      </c>
      <c r="C241" s="1" t="n">
        <v>46066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47359-2024</t>
        </is>
      </c>
      <c r="B242" s="1" t="n">
        <v>45587.43547453704</v>
      </c>
      <c r="C242" s="1" t="n">
        <v>46066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31645-2024</t>
        </is>
      </c>
      <c r="B243" s="1" t="n">
        <v>45506.60777777778</v>
      </c>
      <c r="C243" s="1" t="n">
        <v>46066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64359-2023</t>
        </is>
      </c>
      <c r="B244" s="1" t="n">
        <v>45280</v>
      </c>
      <c r="C244" s="1" t="n">
        <v>46066</v>
      </c>
      <c r="D244" t="inlineStr">
        <is>
          <t>GÄVLEBORGS LÄN</t>
        </is>
      </c>
      <c r="E244" t="inlineStr">
        <is>
          <t>HOFORS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58787-2021</t>
        </is>
      </c>
      <c r="B245" s="1" t="n">
        <v>44489.56234953704</v>
      </c>
      <c r="C245" s="1" t="n">
        <v>46066</v>
      </c>
      <c r="D245" t="inlineStr">
        <is>
          <t>GÄVLEBORGS LÄN</t>
        </is>
      </c>
      <c r="E245" t="inlineStr">
        <is>
          <t>HOFORS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24988-2023</t>
        </is>
      </c>
      <c r="B246" s="1" t="n">
        <v>45085.64087962963</v>
      </c>
      <c r="C246" s="1" t="n">
        <v>46066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2546-2026</t>
        </is>
      </c>
      <c r="B247" s="1" t="n">
        <v>46037.46833333333</v>
      </c>
      <c r="C247" s="1" t="n">
        <v>46066</v>
      </c>
      <c r="D247" t="inlineStr">
        <is>
          <t>GÄVLEBORGS LÄN</t>
        </is>
      </c>
      <c r="E247" t="inlineStr">
        <is>
          <t>HOFORS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13473-2024</t>
        </is>
      </c>
      <c r="B248" s="1" t="n">
        <v>45387.5827662037</v>
      </c>
      <c r="C248" s="1" t="n">
        <v>46066</v>
      </c>
      <c r="D248" t="inlineStr">
        <is>
          <t>GÄVLEBORGS LÄN</t>
        </is>
      </c>
      <c r="E248" t="inlineStr">
        <is>
          <t>HOFORS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28133-2024</t>
        </is>
      </c>
      <c r="B249" s="1" t="n">
        <v>45476.69053240741</v>
      </c>
      <c r="C249" s="1" t="n">
        <v>46066</v>
      </c>
      <c r="D249" t="inlineStr">
        <is>
          <t>GÄVLEBORGS LÄN</t>
        </is>
      </c>
      <c r="E249" t="inlineStr">
        <is>
          <t>HOFORS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12057-2021</t>
        </is>
      </c>
      <c r="B250" s="1" t="n">
        <v>44266</v>
      </c>
      <c r="C250" s="1" t="n">
        <v>46066</v>
      </c>
      <c r="D250" t="inlineStr">
        <is>
          <t>GÄVLEBORGS LÄN</t>
        </is>
      </c>
      <c r="E250" t="inlineStr">
        <is>
          <t>HOFORS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37744-2022</t>
        </is>
      </c>
      <c r="B251" s="1" t="n">
        <v>44810.58422453704</v>
      </c>
      <c r="C251" s="1" t="n">
        <v>46066</v>
      </c>
      <c r="D251" t="inlineStr">
        <is>
          <t>GÄVLEBORGS LÄN</t>
        </is>
      </c>
      <c r="E251" t="inlineStr">
        <is>
          <t>HOFORS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10184-2022</t>
        </is>
      </c>
      <c r="B252" s="1" t="n">
        <v>44622</v>
      </c>
      <c r="C252" s="1" t="n">
        <v>46066</v>
      </c>
      <c r="D252" t="inlineStr">
        <is>
          <t>GÄVLEBORGS LÄN</t>
        </is>
      </c>
      <c r="E252" t="inlineStr">
        <is>
          <t>HOFORS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10602-2022</t>
        </is>
      </c>
      <c r="B253" s="1" t="n">
        <v>44624</v>
      </c>
      <c r="C253" s="1" t="n">
        <v>46066</v>
      </c>
      <c r="D253" t="inlineStr">
        <is>
          <t>GÄVLEBORGS LÄN</t>
        </is>
      </c>
      <c r="E253" t="inlineStr">
        <is>
          <t>HOFORS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47531-2021</t>
        </is>
      </c>
      <c r="B254" s="1" t="n">
        <v>44447</v>
      </c>
      <c r="C254" s="1" t="n">
        <v>46066</v>
      </c>
      <c r="D254" t="inlineStr">
        <is>
          <t>GÄVLEBORGS LÄN</t>
        </is>
      </c>
      <c r="E254" t="inlineStr">
        <is>
          <t>HOFORS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33734-2024</t>
        </is>
      </c>
      <c r="B255" s="1" t="n">
        <v>45520</v>
      </c>
      <c r="C255" s="1" t="n">
        <v>46066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11607-2023</t>
        </is>
      </c>
      <c r="B256" s="1" t="n">
        <v>44994</v>
      </c>
      <c r="C256" s="1" t="n">
        <v>46066</v>
      </c>
      <c r="D256" t="inlineStr">
        <is>
          <t>GÄVLEBORGS LÄN</t>
        </is>
      </c>
      <c r="E256" t="inlineStr">
        <is>
          <t>HOFORS</t>
        </is>
      </c>
      <c r="F256" t="inlineStr">
        <is>
          <t>Övriga statliga verk och myndigheter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43726-2023</t>
        </is>
      </c>
      <c r="B257" s="1" t="n">
        <v>45187</v>
      </c>
      <c r="C257" s="1" t="n">
        <v>46066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35504-2024</t>
        </is>
      </c>
      <c r="B258" s="1" t="n">
        <v>45531.53686342593</v>
      </c>
      <c r="C258" s="1" t="n">
        <v>46066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68079-2021</t>
        </is>
      </c>
      <c r="B259" s="1" t="n">
        <v>44526.31943287037</v>
      </c>
      <c r="C259" s="1" t="n">
        <v>46066</v>
      </c>
      <c r="D259" t="inlineStr">
        <is>
          <t>GÄVLEBORGS LÄN</t>
        </is>
      </c>
      <c r="E259" t="inlineStr">
        <is>
          <t>HOFORS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6958-2024</t>
        </is>
      </c>
      <c r="B260" s="1" t="n">
        <v>45343</v>
      </c>
      <c r="C260" s="1" t="n">
        <v>46066</v>
      </c>
      <c r="D260" t="inlineStr">
        <is>
          <t>GÄVLEBORGS LÄN</t>
        </is>
      </c>
      <c r="E260" t="inlineStr">
        <is>
          <t>HOFORS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54826-2021</t>
        </is>
      </c>
      <c r="B261" s="1" t="n">
        <v>44473</v>
      </c>
      <c r="C261" s="1" t="n">
        <v>46066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väst AB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33710-2024</t>
        </is>
      </c>
      <c r="B262" s="1" t="n">
        <v>45520</v>
      </c>
      <c r="C262" s="1" t="n">
        <v>46066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17185-2025</t>
        </is>
      </c>
      <c r="B263" s="1" t="n">
        <v>45755</v>
      </c>
      <c r="C263" s="1" t="n">
        <v>46066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47639-2021</t>
        </is>
      </c>
      <c r="B264" s="1" t="n">
        <v>44448.3966087963</v>
      </c>
      <c r="C264" s="1" t="n">
        <v>46066</v>
      </c>
      <c r="D264" t="inlineStr">
        <is>
          <t>GÄVLEBORGS LÄN</t>
        </is>
      </c>
      <c r="E264" t="inlineStr">
        <is>
          <t>HOFORS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32827-2024</t>
        </is>
      </c>
      <c r="B265" s="1" t="n">
        <v>45516.59273148148</v>
      </c>
      <c r="C265" s="1" t="n">
        <v>46066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1149-2024</t>
        </is>
      </c>
      <c r="B266" s="1" t="n">
        <v>45302.49834490741</v>
      </c>
      <c r="C266" s="1" t="n">
        <v>46066</v>
      </c>
      <c r="D266" t="inlineStr">
        <is>
          <t>GÄVLEBORGS LÄN</t>
        </is>
      </c>
      <c r="E266" t="inlineStr">
        <is>
          <t>HOFORS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18347-2025</t>
        </is>
      </c>
      <c r="B267" s="1" t="n">
        <v>45762.52913194444</v>
      </c>
      <c r="C267" s="1" t="n">
        <v>46066</v>
      </c>
      <c r="D267" t="inlineStr">
        <is>
          <t>GÄVLEBORGS LÄN</t>
        </is>
      </c>
      <c r="E267" t="inlineStr">
        <is>
          <t>HOFORS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31613-2023</t>
        </is>
      </c>
      <c r="B268" s="1" t="n">
        <v>45117</v>
      </c>
      <c r="C268" s="1" t="n">
        <v>46066</v>
      </c>
      <c r="D268" t="inlineStr">
        <is>
          <t>GÄVLEBORGS LÄN</t>
        </is>
      </c>
      <c r="E268" t="inlineStr">
        <is>
          <t>HOFORS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21039-2024</t>
        </is>
      </c>
      <c r="B269" s="1" t="n">
        <v>45439</v>
      </c>
      <c r="C269" s="1" t="n">
        <v>46066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36283-2024</t>
        </is>
      </c>
      <c r="B270" s="1" t="n">
        <v>45534.58899305556</v>
      </c>
      <c r="C270" s="1" t="n">
        <v>46066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20972-2025</t>
        </is>
      </c>
      <c r="B271" s="1" t="n">
        <v>45777.45725694444</v>
      </c>
      <c r="C271" s="1" t="n">
        <v>46066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1144-2024</t>
        </is>
      </c>
      <c r="B272" s="1" t="n">
        <v>45302.49138888889</v>
      </c>
      <c r="C272" s="1" t="n">
        <v>46066</v>
      </c>
      <c r="D272" t="inlineStr">
        <is>
          <t>GÄVLEBORGS LÄN</t>
        </is>
      </c>
      <c r="E272" t="inlineStr">
        <is>
          <t>HOFORS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21340-2025</t>
        </is>
      </c>
      <c r="B273" s="1" t="n">
        <v>45782.38909722222</v>
      </c>
      <c r="C273" s="1" t="n">
        <v>46066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5554-2024</t>
        </is>
      </c>
      <c r="B274" s="1" t="n">
        <v>45334</v>
      </c>
      <c r="C274" s="1" t="n">
        <v>46066</v>
      </c>
      <c r="D274" t="inlineStr">
        <is>
          <t>GÄVLEBORGS LÄN</t>
        </is>
      </c>
      <c r="E274" t="inlineStr">
        <is>
          <t>HOFORS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22844-2025</t>
        </is>
      </c>
      <c r="B275" s="1" t="n">
        <v>45790.32160879629</v>
      </c>
      <c r="C275" s="1" t="n">
        <v>46066</v>
      </c>
      <c r="D275" t="inlineStr">
        <is>
          <t>GÄVLEBORGS LÄN</t>
        </is>
      </c>
      <c r="E275" t="inlineStr">
        <is>
          <t>HOFORS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23666-2025</t>
        </is>
      </c>
      <c r="B276" s="1" t="n">
        <v>45792.84364583333</v>
      </c>
      <c r="C276" s="1" t="n">
        <v>46066</v>
      </c>
      <c r="D276" t="inlineStr">
        <is>
          <t>GÄVLEBORGS LÄN</t>
        </is>
      </c>
      <c r="E276" t="inlineStr">
        <is>
          <t>HOFORS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2026-02-13T11:02:50Z</dcterms:created>
  <dcterms:modified xmlns:dcterms="http://purl.org/dc/terms/" xmlns:xsi="http://www.w3.org/2001/XMLSchema-instance" xsi:type="dcterms:W3CDTF">2026-02-13T11:02:50Z</dcterms:modified>
</cp:coreProperties>
</file>